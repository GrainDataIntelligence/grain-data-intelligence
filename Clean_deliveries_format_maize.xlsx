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Projects\grain-data-intelligence\"/>
    </mc:Choice>
  </mc:AlternateContent>
  <xr:revisionPtr revIDLastSave="0" documentId="13_ncr:1_{9F8E02D9-0156-4B05-9EA3-D4D1EA1566AA}" xr6:coauthVersionLast="47" xr6:coauthVersionMax="47" xr10:uidLastSave="{00000000-0000-0000-0000-000000000000}"/>
  <bookViews>
    <workbookView xWindow="-28980" yWindow="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<sst xmlns="http://schemas.openxmlformats.org/spreadsheetml/2006/main" count="2187" uniqueCount="735">
  <si>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</si>
  <si>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</si>
  <si>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</si>
  <si>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</si>
  <si>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</si>
  <si>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</si>
  <si>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</si>
  <si>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</si>
  <si>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</si>
  <si>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</si>
  <si>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</si>
  <si>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</si>
  <si>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</si>
  <si>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</si>
  <si>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</si>
  <si>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</si>
  <si>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</si>
  <si>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</si>
  <si>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</si>
  <si>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</si>
  <si>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</si>
  <si>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</si>
  <si>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</si>
  <si>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</si>
  <si>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</si>
  <si>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</si>
  <si>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</si>
  <si>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</si>
  <si>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</si>
  <si>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</si>
  <si>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</si>
  <si>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</si>
  <si>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</si>
  <si>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</si>
  <si>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</si>
  <si>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</si>
  <si>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</si>
  <si>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</si>
  <si>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</si>
  <si>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</si>
  <si>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</si>
  <si>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</si>
  <si>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</si>
  <si>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</si>
  <si>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</si>
  <si>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</si>
  <si>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</si>
  <si>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</si>
  <si>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</si>
  <si>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</si>
  <si>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</si>
  <si>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</si>
  <si>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</si>
  <si>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</si>
  <si>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</si>
  <si>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</si>
  <si>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</si>
  <si>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</si>
  <si>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</si>
  <si>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</si>
  <si>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</si>
  <si>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</si>
  <si>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</si>
  <si>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</si>
  <si>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</si>
  <si>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</si>
  <si>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</si>
  <si>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</si>
  <si>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</si>
  <si>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</si>
  <si>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</si>
  <si>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</si>
  <si>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</si>
  <si>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</si>
  <si>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</si>
  <si>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</si>
  <si>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</si>
  <si>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</si>
  <si>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</si>
  <si>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</si>
  <si>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</si>
  <si>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</si>
  <si>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</si>
  <si>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</si>
  <si>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</si>
  <si>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</si>
  <si>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</si>
  <si>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</si>
  <si>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</si>
  <si>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</si>
  <si>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</si>
  <si>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</si>
  <si>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</si>
  <si>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</si>
  <si>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</si>
  <si>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</si>
  <si>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</si>
  <si>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</si>
  <si>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</si>
  <si>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</si>
  <si>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</si>
  <si>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</si>
  <si>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</si>
  <si>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</si>
  <si>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</si>
  <si>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</si>
  <si>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</si>
  <si>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</si>
  <si>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</si>
  <si>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</si>
  <si>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</si>
  <si>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</si>
  <si>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</si>
  <si>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</si>
  <si>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</si>
  <si>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</si>
  <si>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</si>
  <si>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</si>
  <si>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</si>
  <si>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</si>
  <si>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</si>
  <si>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</si>
  <si>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</si>
  <si>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</si>
  <si>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</si>
  <si>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</si>
  <si>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</si>
  <si>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</si>
  <si>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</si>
  <si>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</si>
  <si>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</si>
  <si>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</si>
  <si>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</si>
  <si>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</si>
  <si>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</si>
  <si>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</si>
  <si>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</si>
  <si>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</si>
  <si>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</si>
  <si>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</si>
  <si>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</si>
  <si>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</si>
  <si>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</si>
  <si>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</si>
  <si>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</si>
  <si>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</si>
  <si>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</si>
  <si>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</si>
  <si>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</si>
  <si>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</si>
  <si>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</si>
  <si>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</si>
  <si>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</si>
  <si>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</si>
  <si>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</si>
  <si>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</si>
  <si>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</si>
  <si>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</si>
  <si>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</si>
  <si>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</si>
  <si>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</si>
  <si>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</si>
  <si>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</si>
  <si>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</si>
  <si>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</si>
  <si>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</si>
  <si>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</si>
  <si>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</si>
  <si>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</si>
  <si>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</si>
  <si>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</si>
  <si>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</si>
  <si>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</si>
  <si>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</si>
  <si>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</si>
  <si>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</si>
  <si>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</si>
  <si>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</si>
  <si>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</si>
  <si>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</si>
  <si>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</si>
  <si>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</si>
  <si>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</si>
  <si>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</si>
  <si>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</si>
  <si>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</si>
  <si>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</si>
  <si>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</si>
  <si>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</si>
  <si>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</si>
  <si>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</si>
  <si>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</si>
  <si>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</si>
  <si>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</si>
  <si>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</si>
  <si>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</si>
  <si>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</si>
  <si>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</si>
  <si>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</si>
  <si>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</si>
  <si>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</si>
  <si>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</si>
  <si>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</si>
  <si>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</si>
  <si>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</si>
  <si>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</si>
  <si>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</si>
  <si>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</si>
  <si>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</si>
  <si>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</si>
  <si>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</si>
  <si>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</si>
  <si>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</si>
  <si>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</si>
  <si>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</si>
  <si>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</si>
  <si>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</si>
  <si>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</si>
  <si>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</si>
  <si>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</si>
  <si>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</si>
  <si>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</si>
  <si>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</si>
  <si>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</si>
  <si>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</si>
  <si>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</si>
  <si>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</si>
  <si>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</si>
  <si>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</si>
  <si>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</si>
  <si>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</si>
  <si>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</si>
  <si>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</si>
  <si>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</si>
  <si>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</si>
  <si>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</si>
  <si>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</si>
  <si>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</si>
  <si>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</si>
  <si>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</si>
  <si>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</si>
  <si>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</si>
  <si>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</si>
  <si>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</si>
  <si>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</si>
  <si>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</si>
  <si>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</si>
  <si>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</si>
  <si>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</si>
  <si>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</si>
  <si>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</si>
  <si>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</si>
  <si>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</si>
  <si>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</si>
  <si>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</si>
  <si>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</si>
  <si>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</si>
  <si>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</si>
  <si>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</si>
  <si>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</si>
  <si>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</si>
  <si>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</si>
  <si>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</si>
  <si>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</si>
  <si>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</si>
  <si>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</si>
  <si>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</si>
  <si>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</si>
  <si>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</si>
  <si>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</si>
  <si>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</si>
  <si>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</si>
  <si>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</si>
  <si>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</si>
  <si>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</si>
  <si>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</si>
  <si>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</si>
  <si>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</si>
  <si>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</si>
  <si>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</si>
  <si>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</si>
  <si>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</si>
  <si>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</si>
  <si>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</si>
  <si>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</si>
  <si>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</si>
  <si>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</si>
  <si>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</si>
  <si>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</si>
  <si>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</si>
  <si>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</si>
  <si>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</si>
  <si>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</si>
  <si>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</si>
  <si>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</si>
  <si>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</si>
  <si>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</si>
  <si>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</si>
  <si>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</si>
  <si>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</si>
  <si>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</si>
  <si>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</si>
  <si>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</si>
  <si>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</si>
  <si>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</si>
  <si>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</si>
  <si>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</si>
  <si>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</si>
  <si>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</si>
  <si>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</si>
  <si>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</si>
  <si>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</si>
  <si>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</si>
  <si>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</si>
  <si>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</si>
  <si>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</si>
  <si>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</si>
  <si>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</si>
  <si>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</si>
  <si>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</si>
  <si>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</si>
  <si>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</si>
  <si>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</si>
  <si>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</si>
  <si>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</si>
  <si>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</si>
  <si>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</si>
  <si>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</si>
  <si>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</si>
  <si>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</si>
  <si>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</si>
  <si>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</si>
  <si>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</si>
  <si>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</si>
  <si>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</si>
  <si>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</si>
  <si>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</si>
  <si>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</si>
  <si>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</si>
  <si>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</si>
  <si>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</si>
  <si>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</si>
  <si>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</si>
  <si>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</si>
  <si>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</si>
  <si>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</si>
  <si>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</si>
  <si>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</si>
  <si>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</si>
  <si>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</si>
  <si>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</si>
  <si>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</si>
  <si>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</si>
  <si>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</si>
  <si>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</si>
  <si>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</si>
  <si>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</si>
  <si>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</si>
  <si>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</si>
  <si>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</si>
  <si>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</si>
  <si>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</si>
  <si>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</si>
  <si>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</si>
  <si>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</si>
  <si>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</si>
  <si>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</si>
  <si>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</si>
  <si>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</si>
  <si>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</si>
  <si>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</si>
  <si>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</si>
  <si>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</si>
  <si>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</si>
  <si>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</si>
  <si>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</si>
  <si>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</si>
  <si>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</si>
  <si>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</si>
  <si>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</si>
  <si>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</si>
  <si>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</si>
  <si>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</si>
  <si>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</si>
  <si>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</si>
  <si>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</si>
  <si>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</si>
  <si>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</si>
  <si>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</si>
  <si>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</si>
  <si>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</si>
  <si>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</si>
  <si>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</si>
  <si>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</si>
  <si>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</si>
  <si>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</si>
  <si>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</si>
  <si>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</si>
  <si>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</si>
  <si>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</si>
  <si>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</si>
  <si>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</si>
  <si>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</si>
  <si>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</si>
  <si>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</si>
  <si>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</si>
  <si>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</si>
  <si>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</si>
  <si>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</si>
  <si>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</si>
  <si>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</si>
  <si>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</si>
  <si>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</si>
  <si>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</si>
  <si>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</si>
  <si>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</si>
  <si>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</si>
  <si>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</si>
  <si>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</si>
  <si>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</si>
  <si>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</si>
  <si>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</si>
  <si>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</si>
  <si>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</si>
  <si>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</si>
  <si>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</si>
  <si>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</si>
  <si>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</si>
  <si>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</si>
  <si>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</si>
  <si>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</si>
  <si>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</si>
  <si>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</si>
  <si>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</si>
  <si>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</si>
  <si>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</si>
  <si>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</si>
  <si>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</si>
  <si>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</si>
  <si>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</si>
  <si>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</si>
  <si>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</si>
  <si>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</si>
  <si>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</si>
  <si>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</si>
  <si>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</si>
  <si>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</si>
  <si>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</si>
  <si>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</si>
  <si>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</si>
  <si>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</si>
  <si>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</si>
  <si>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</si>
  <si>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</si>
  <si>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</si>
  <si>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</si>
  <si>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</si>
  <si>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</si>
  <si>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</si>
  <si>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</si>
  <si>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</si>
  <si>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</si>
  <si>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</si>
  <si>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</si>
  <si>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</si>
  <si>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</si>
  <si>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</si>
  <si>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</si>
  <si>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</si>
  <si>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</si>
  <si>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</si>
  <si>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</si>
  <si>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</si>
  <si>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</si>
  <si>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</si>
  <si>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</si>
  <si>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</si>
  <si>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</si>
  <si>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</si>
  <si>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</si>
  <si>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</si>
  <si>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</si>
  <si>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</si>
  <si>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</si>
  <si>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</si>
  <si>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</si>
  <si>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</si>
  <si>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</si>
  <si>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</si>
  <si>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</si>
  <si>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</si>
  <si>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</si>
  <si>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</si>
  <si>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</si>
  <si>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</si>
  <si>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</si>
  <si>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</si>
  <si>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</si>
  <si>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</si>
  <si>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</si>
  <si>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</si>
  <si>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</si>
  <si>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</si>
  <si>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</si>
  <si>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</si>
  <si>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</si>
  <si>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</si>
  <si>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</si>
  <si>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</si>
  <si>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</si>
  <si>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</si>
  <si>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</si>
  <si>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</si>
  <si>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</si>
  <si>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</si>
  <si>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</si>
  <si>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</si>
  <si>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</si>
  <si>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</si>
  <si>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</si>
  <si>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</si>
  <si>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</si>
  <si>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</si>
  <si>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</si>
  <si>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</si>
  <si>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</si>
  <si>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</si>
  <si>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</si>
  <si>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</si>
  <si>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</si>
  <si>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</si>
  <si>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</si>
  <si>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</si>
  <si>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</si>
  <si>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</si>
  <si>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</si>
  <si>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</si>
  <si>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</si>
  <si>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</si>
  <si>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</si>
  <si>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</si>
  <si>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</si>
  <si>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</si>
  <si>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</si>
  <si>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</si>
  <si>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</si>
  <si>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</si>
  <si>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</si>
  <si>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</si>
  <si>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</si>
  <si>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</si>
  <si>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</si>
  <si>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</si>
  <si>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</si>
  <si>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</si>
  <si>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</si>
  <si>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</si>
  <si>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</si>
  <si>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</si>
  <si>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</si>
  <si>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</si>
  <si>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</si>
  <si>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</si>
  <si>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</si>
  <si>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</si>
  <si>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</si>
  <si>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</si>
  <si>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</si>
  <si>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</si>
  <si>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</si>
  <si>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</si>
  <si>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</si>
  <si>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</si>
  <si>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</si>
  <si>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</si>
  <si>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</si>
  <si>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</si>
  <si>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</si>
  <si>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</si>
  <si>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</si>
  <si>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</si>
  <si>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</si>
  <si>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</si>
  <si>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</si>
  <si>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</si>
  <si>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</si>
  <si>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</si>
  <si>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</si>
  <si>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</si>
  <si>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</si>
  <si>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</si>
  <si>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</si>
  <si>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</si>
  <si>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</si>
  <si>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</si>
  <si>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</si>
  <si>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</si>
  <si>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</si>
  <si>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</si>
  <si>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</si>
  <si>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</si>
  <si>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</si>
  <si>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</si>
  <si>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</si>
  <si>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</si>
  <si>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</si>
  <si>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</si>
  <si>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</si>
  <si>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</si>
  <si>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</si>
  <si>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</si>
  <si>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</si>
  <si>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</si>
  <si>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</si>
  <si>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</si>
  <si>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</si>
  <si>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</si>
  <si>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</si>
  <si>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</si>
  <si>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</si>
  <si>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</si>
  <si>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</si>
  <si>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</si>
  <si>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</si>
  <si>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</si>
  <si>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</si>
  <si>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</si>
  <si>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</si>
  <si>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</si>
  <si>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</si>
  <si>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</si>
  <si>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</si>
  <si>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</si>
  <si>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</si>
  <si>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</si>
  <si>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</si>
  <si>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</si>
  <si>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</si>
  <si>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</si>
  <si>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</si>
  <si>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</si>
  <si>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</si>
  <si>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</si>
  <si>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</si>
  <si>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</si>
  <si>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</si>
  <si>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</si>
  <si>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</si>
  <si>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</si>
  <si>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</si>
  <si>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</si>
  <si>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</si>
  <si>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</si>
  <si>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</si>
  <si>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</si>
  <si>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</si>
  <si>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</si>
  <si>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</si>
  <si>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</si>
  <si>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</si>
  <si>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</si>
  <si>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</si>
  <si>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</si>
  <si>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</si>
  <si>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</si>
  <si>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</si>
  <si>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</si>
  <si>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</si>
  <si>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</si>
  <si>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</si>
  <si>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</si>
  <si>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</si>
  <si>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</si>
  <si>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</si>
  <si>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</si>
  <si>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</si>
  <si>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</si>
  <si>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</si>
  <si>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</si>
  <si>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</si>
  <si>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</si>
  <si>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</si>
  <si>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</si>
  <si>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</si>
  <si>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</si>
  <si>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</si>
  <si>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</si>
  <si>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</si>
  <si>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</si>
  <si>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</si>
  <si>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</si>
  <si>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</si>
  <si>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</si>
  <si>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</si>
  <si>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</si>
  <si>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</si>
  <si>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</si>
  <si>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</si>
  <si>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</si>
  <si>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</si>
  <si>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</si>
  <si>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</si>
  <si>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</si>
  <si>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</si>
  <si>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</si>
  <si>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</si>
  <si>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</si>
  <si>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</si>
  <si>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</si>
  <si>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</si>
  <si>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</si>
  <si>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</si>
  <si>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</si>
  <si>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</si>
  <si>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</si>
  <si>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</si>
  <si>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</si>
  <si>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</si>
  <si>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</si>
  <si>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</si>
  <si>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</si>
  <si>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</si>
  <si>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</si>
  <si>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</si>
  <si>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</si>
  <si>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</si>
  <si>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</si>
  <si>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</si>
  <si>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</si>
  <si>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</si>
  <si>
    <t>27/06 - 03/07/2026</t>
  </si>
  <si>
    <t>04/07 - 10/07/2026</t>
  </si>
  <si>
    <t>11/07 - 17/07/2026</t>
  </si>
  <si>
    <t>18/07 - 24/07/2026</t>
  </si>
  <si>
    <t>25/07 - 31/07/2026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</si>
</sst>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5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14" fillId="2" borderId="15" xfId="0" applyFont="1" applyFill="1" applyBorder="1"/>
    <xf numFmtId="0" fontId="14" fillId="2" borderId="2" xfId="0" applyFont="1" applyFill="1" applyBorder="1"/>
    <xf numFmtId="0" fontId="14" fillId="2" borderId="3" xfId="0" applyFont="1" applyFill="1" applyBorder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69" activePane="bottomLeft" state="frozen"/>
      <selection pane="bottomLeft" activeCell="L698" sqref="L698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61" t="s">
        <v>723</v>
      </c>
      <c r="AE1" s="61"/>
      <c r="AF1" s="62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9282690</v>
      </c>
      <c r="AE16" s="51">
        <v>7971850</v>
      </c>
      <c r="AF16" s="53">
        <f>AE16+AD16</f>
        <v>17254540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2115</v>
      </c>
      <c r="H659" s="10">
        <v>20949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2154</v>
      </c>
      <c r="N659" s="10">
        <v>43617</v>
      </c>
      <c r="O659" s="10">
        <v>18370</v>
      </c>
      <c r="P659" s="10">
        <v>2470</v>
      </c>
      <c r="Q659" s="10">
        <v>109</v>
      </c>
      <c r="R659" s="10">
        <v>0</v>
      </c>
      <c r="S659" s="10">
        <v>20949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43617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1790</v>
      </c>
      <c r="H677" s="10">
        <v>44501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4792</v>
      </c>
      <c r="N677" s="10">
        <v>108193</v>
      </c>
      <c r="O677" s="10">
        <v>41773</v>
      </c>
      <c r="P677" s="10">
        <v>2451</v>
      </c>
      <c r="Q677" s="10">
        <v>190</v>
      </c>
      <c r="R677" s="10">
        <v>87</v>
      </c>
      <c r="S677" s="10">
        <v>44501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108193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3200</v>
      </c>
      <c r="K678" s="10">
        <v>82907</v>
      </c>
      <c r="L678" s="10">
        <v>132462</v>
      </c>
      <c r="M678" s="10">
        <v>5829</v>
      </c>
      <c r="N678" s="10">
        <v>138291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78366</v>
      </c>
      <c r="U678" s="10">
        <v>4480</v>
      </c>
      <c r="V678" s="10">
        <v>0</v>
      </c>
      <c r="W678" s="10">
        <v>61</v>
      </c>
      <c r="X678" s="10">
        <v>82907</v>
      </c>
      <c r="Y678" s="10">
        <v>138291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35859</v>
      </c>
      <c r="H679" s="10">
        <v>67697</v>
      </c>
      <c r="I679" s="10">
        <v>74815</v>
      </c>
      <c r="J679" s="10">
        <v>66951</v>
      </c>
      <c r="K679" s="10">
        <v>141766</v>
      </c>
      <c r="L679" s="10">
        <v>106653</v>
      </c>
      <c r="M679" s="10">
        <v>102810</v>
      </c>
      <c r="N679" s="10">
        <v>209463</v>
      </c>
      <c r="O679" s="10">
        <v>64972</v>
      </c>
      <c r="P679" s="10">
        <v>1962</v>
      </c>
      <c r="Q679" s="10">
        <v>676</v>
      </c>
      <c r="R679" s="10">
        <v>87</v>
      </c>
      <c r="S679" s="10">
        <v>67697</v>
      </c>
      <c r="T679" s="10">
        <v>138452</v>
      </c>
      <c r="U679" s="10">
        <v>3296</v>
      </c>
      <c r="V679" s="10">
        <v>0</v>
      </c>
      <c r="W679" s="10">
        <v>18</v>
      </c>
      <c r="X679" s="10">
        <v>141766</v>
      </c>
      <c r="Y679" s="10">
        <v>209463</v>
      </c>
      <c r="AA679" s="57"/>
    </row>
    <row r="680" spans="1:27" x14ac:dyDescent="0.25">
      <c r="A680" s="14">
        <v>1</v>
      </c>
      <c r="B680" s="18">
        <v>9</v>
      </c>
      <c r="C680" s="58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-58015</v>
      </c>
      <c r="K680" s="16">
        <v>9661</v>
      </c>
      <c r="L680" s="16">
        <v>95738</v>
      </c>
      <c r="M680" s="16">
        <v>-82070</v>
      </c>
      <c r="N680" s="16">
        <v>13668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9538</v>
      </c>
      <c r="U680" s="16">
        <v>123</v>
      </c>
      <c r="V680" s="16">
        <v>0</v>
      </c>
      <c r="W680" s="16">
        <v>0</v>
      </c>
      <c r="X680" s="16">
        <v>9661</v>
      </c>
      <c r="Y680" s="16">
        <v>13668</v>
      </c>
      <c r="Z680" s="19"/>
      <c r="AA680" s="57"/>
    </row>
    <row r="681" spans="1:27" x14ac:dyDescent="0.25">
      <c r="A681" s="7">
        <v>2</v>
      </c>
      <c r="B681" s="4">
        <v>10</v>
      </c>
      <c r="C681" s="59" t="s">
        <v>79</v>
      </c>
      <c r="D681" s="6" t="s">
        <v>77</v>
      </c>
      <c r="E681" s="6" t="s">
        <v>77</v>
      </c>
      <c r="F681" s="10">
        <v>28999</v>
      </c>
      <c r="G681" s="10">
        <v>476</v>
      </c>
      <c r="H681" s="10">
        <v>29475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861</v>
      </c>
      <c r="N681" s="10">
        <v>102874</v>
      </c>
      <c r="O681" s="10">
        <v>27562</v>
      </c>
      <c r="P681" s="10">
        <v>1766</v>
      </c>
      <c r="Q681" s="10">
        <v>56</v>
      </c>
      <c r="R681" s="10">
        <v>91</v>
      </c>
      <c r="S681" s="10">
        <v>29475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102874</v>
      </c>
      <c r="AA681" s="57"/>
    </row>
    <row r="682" spans="1:27" x14ac:dyDescent="0.25">
      <c r="A682" s="7">
        <v>3</v>
      </c>
      <c r="B682" s="4">
        <v>11</v>
      </c>
      <c r="C682" s="59" t="s">
        <v>80</v>
      </c>
      <c r="D682" s="6" t="s">
        <v>77</v>
      </c>
      <c r="E682" s="6" t="s">
        <v>77</v>
      </c>
      <c r="F682" s="10">
        <v>67674</v>
      </c>
      <c r="G682" s="10">
        <v>154</v>
      </c>
      <c r="H682" s="10">
        <v>67828</v>
      </c>
      <c r="I682" s="10">
        <v>137597</v>
      </c>
      <c r="J682" s="10">
        <v>2480</v>
      </c>
      <c r="K682" s="10">
        <v>140077</v>
      </c>
      <c r="L682" s="10">
        <v>205271</v>
      </c>
      <c r="M682" s="10">
        <v>2634</v>
      </c>
      <c r="N682" s="10">
        <v>207905</v>
      </c>
      <c r="O682" s="10">
        <v>63822</v>
      </c>
      <c r="P682" s="10">
        <v>3933</v>
      </c>
      <c r="Q682" s="10">
        <v>35</v>
      </c>
      <c r="R682" s="10">
        <v>38</v>
      </c>
      <c r="S682" s="10">
        <v>67828</v>
      </c>
      <c r="T682" s="10">
        <v>137076</v>
      </c>
      <c r="U682" s="10">
        <v>2859</v>
      </c>
      <c r="V682" s="10">
        <v>105</v>
      </c>
      <c r="W682" s="10">
        <v>37</v>
      </c>
      <c r="X682" s="10">
        <v>140077</v>
      </c>
      <c r="Y682" s="10">
        <v>207905</v>
      </c>
      <c r="AA682" s="57"/>
    </row>
    <row r="683" spans="1:27" x14ac:dyDescent="0.25">
      <c r="A683" s="7">
        <v>4</v>
      </c>
      <c r="B683" s="4">
        <v>12</v>
      </c>
      <c r="C683" s="59" t="s">
        <v>81</v>
      </c>
      <c r="D683" s="6" t="s">
        <v>77</v>
      </c>
      <c r="E683" s="6" t="s">
        <v>77</v>
      </c>
      <c r="F683" s="10">
        <v>120859</v>
      </c>
      <c r="G683" s="10">
        <v>-193</v>
      </c>
      <c r="H683" s="10">
        <v>120666</v>
      </c>
      <c r="I683" s="10">
        <v>285962</v>
      </c>
      <c r="J683" s="10">
        <v>2860</v>
      </c>
      <c r="K683" s="10">
        <v>288822</v>
      </c>
      <c r="L683" s="10">
        <v>406821</v>
      </c>
      <c r="M683" s="10">
        <v>2667</v>
      </c>
      <c r="N683" s="10">
        <v>409488</v>
      </c>
      <c r="O683" s="10">
        <v>115619</v>
      </c>
      <c r="P683" s="10">
        <v>4216</v>
      </c>
      <c r="Q683" s="10">
        <v>720</v>
      </c>
      <c r="R683" s="10">
        <v>111</v>
      </c>
      <c r="S683" s="10">
        <v>120666</v>
      </c>
      <c r="T683" s="10">
        <v>277464</v>
      </c>
      <c r="U683" s="10">
        <v>10777</v>
      </c>
      <c r="V683" s="10">
        <v>579</v>
      </c>
      <c r="W683" s="10">
        <v>2</v>
      </c>
      <c r="X683" s="10">
        <v>288822</v>
      </c>
      <c r="Y683" s="10">
        <v>409488</v>
      </c>
      <c r="AA683" s="57"/>
    </row>
    <row r="684" spans="1:27" x14ac:dyDescent="0.25">
      <c r="A684" s="7">
        <v>5</v>
      </c>
      <c r="B684" s="4">
        <v>13</v>
      </c>
      <c r="C684" s="59" t="s">
        <v>82</v>
      </c>
      <c r="D684" s="6" t="s">
        <v>77</v>
      </c>
      <c r="E684" s="6" t="s">
        <v>77</v>
      </c>
      <c r="F684" s="10">
        <v>201415</v>
      </c>
      <c r="G684" s="10">
        <v>11275</v>
      </c>
      <c r="H684" s="10">
        <v>212690</v>
      </c>
      <c r="I684" s="10">
        <v>412859</v>
      </c>
      <c r="J684" s="10">
        <v>33866</v>
      </c>
      <c r="K684" s="10">
        <v>446725</v>
      </c>
      <c r="L684" s="10">
        <v>614274</v>
      </c>
      <c r="M684" s="10">
        <v>45141</v>
      </c>
      <c r="N684" s="10">
        <v>659415</v>
      </c>
      <c r="O684" s="10">
        <v>203773</v>
      </c>
      <c r="P684" s="10">
        <v>8021</v>
      </c>
      <c r="Q684" s="10">
        <v>761</v>
      </c>
      <c r="R684" s="10">
        <v>135</v>
      </c>
      <c r="S684" s="10">
        <v>212690</v>
      </c>
      <c r="T684" s="10">
        <v>422975</v>
      </c>
      <c r="U684" s="10">
        <v>23148</v>
      </c>
      <c r="V684" s="10">
        <v>555</v>
      </c>
      <c r="W684" s="10">
        <v>47</v>
      </c>
      <c r="X684" s="10">
        <v>446725</v>
      </c>
      <c r="Y684" s="10">
        <v>659415</v>
      </c>
      <c r="AA684" s="57"/>
    </row>
    <row r="685" spans="1:27" x14ac:dyDescent="0.25">
      <c r="A685" s="7">
        <v>6</v>
      </c>
      <c r="B685" s="4">
        <v>14</v>
      </c>
      <c r="C685" s="59" t="s">
        <v>83</v>
      </c>
      <c r="D685" s="6" t="s">
        <v>77</v>
      </c>
      <c r="E685" s="6" t="s">
        <v>77</v>
      </c>
      <c r="F685" s="10">
        <v>290878</v>
      </c>
      <c r="G685" s="10">
        <v>1711</v>
      </c>
      <c r="H685" s="10">
        <v>292589</v>
      </c>
      <c r="I685" s="10">
        <v>435387</v>
      </c>
      <c r="J685" s="10">
        <v>15129</v>
      </c>
      <c r="K685" s="10">
        <v>450516</v>
      </c>
      <c r="L685" s="10">
        <v>726265</v>
      </c>
      <c r="M685" s="10">
        <v>16840</v>
      </c>
      <c r="N685" s="10">
        <v>743105</v>
      </c>
      <c r="O685" s="10">
        <v>276060</v>
      </c>
      <c r="P685" s="10">
        <v>15443</v>
      </c>
      <c r="Q685" s="10">
        <v>1017</v>
      </c>
      <c r="R685" s="10">
        <v>69</v>
      </c>
      <c r="S685" s="10">
        <v>292589</v>
      </c>
      <c r="T685" s="10">
        <v>414816</v>
      </c>
      <c r="U685" s="10">
        <v>34786</v>
      </c>
      <c r="V685" s="10">
        <v>866</v>
      </c>
      <c r="W685" s="10">
        <v>48</v>
      </c>
      <c r="X685" s="10">
        <v>450516</v>
      </c>
      <c r="Y685" s="10">
        <v>743105</v>
      </c>
      <c r="AA685" s="57"/>
    </row>
    <row r="686" spans="1:27" x14ac:dyDescent="0.25">
      <c r="A686" s="7">
        <v>7</v>
      </c>
      <c r="B686" s="4">
        <v>15</v>
      </c>
      <c r="C686" s="59" t="s">
        <v>727</v>
      </c>
      <c r="D686" s="6" t="s">
        <v>77</v>
      </c>
      <c r="E686" s="6" t="s">
        <v>77</v>
      </c>
      <c r="F686" s="6">
        <v>517618</v>
      </c>
      <c r="G686" s="6">
        <v>7338</v>
      </c>
      <c r="H686" s="6">
        <v>524956</v>
      </c>
      <c r="I686" s="6">
        <v>592608</v>
      </c>
      <c r="J686" s="6">
        <v>7187</v>
      </c>
      <c r="K686" s="6">
        <v>599795</v>
      </c>
      <c r="L686" s="6">
        <v>1110226</v>
      </c>
      <c r="M686" s="6">
        <v>14525</v>
      </c>
      <c r="N686" s="6">
        <v>1124751</v>
      </c>
      <c r="O686" s="6">
        <v>496961</v>
      </c>
      <c r="P686" s="6">
        <v>26631</v>
      </c>
      <c r="Q686" s="6">
        <v>1187</v>
      </c>
      <c r="R686" s="6">
        <v>177</v>
      </c>
      <c r="S686" s="6">
        <v>524956</v>
      </c>
      <c r="T686" s="6">
        <v>542083</v>
      </c>
      <c r="U686" s="6">
        <v>54295</v>
      </c>
      <c r="V686" s="6">
        <v>3228</v>
      </c>
      <c r="W686" s="6">
        <v>189</v>
      </c>
      <c r="X686" s="6">
        <v>599795</v>
      </c>
      <c r="Y686" s="6">
        <v>1124751</v>
      </c>
      <c r="AA686" s="57"/>
    </row>
    <row r="687" spans="1:27" x14ac:dyDescent="0.25">
      <c r="A687" s="7">
        <v>8</v>
      </c>
      <c r="B687" s="4">
        <v>16</v>
      </c>
      <c r="C687" s="59" t="s">
        <v>728</v>
      </c>
      <c r="D687" s="6" t="s">
        <v>77</v>
      </c>
      <c r="E687" s="6" t="s">
        <v>77</v>
      </c>
      <c r="F687" s="6">
        <v>702695</v>
      </c>
      <c r="G687" s="6">
        <v>8369</v>
      </c>
      <c r="H687" s="6">
        <v>711064</v>
      </c>
      <c r="I687" s="6">
        <v>669414</v>
      </c>
      <c r="J687" s="6">
        <v>6344</v>
      </c>
      <c r="K687" s="6">
        <v>675758</v>
      </c>
      <c r="L687" s="6">
        <v>1372109</v>
      </c>
      <c r="M687" s="6">
        <v>14713</v>
      </c>
      <c r="N687" s="6">
        <v>1386822</v>
      </c>
      <c r="O687" s="6">
        <v>674414</v>
      </c>
      <c r="P687" s="6">
        <v>34795</v>
      </c>
      <c r="Q687" s="6">
        <v>1810</v>
      </c>
      <c r="R687" s="6">
        <v>45</v>
      </c>
      <c r="S687" s="6">
        <v>711064</v>
      </c>
      <c r="T687" s="6">
        <v>614475</v>
      </c>
      <c r="U687" s="6">
        <v>57879</v>
      </c>
      <c r="V687" s="6">
        <v>3266</v>
      </c>
      <c r="W687" s="6">
        <v>138</v>
      </c>
      <c r="X687" s="6">
        <v>675758</v>
      </c>
      <c r="Y687" s="6">
        <v>1386822</v>
      </c>
    </row>
    <row r="688" spans="1:27" x14ac:dyDescent="0.25">
      <c r="A688" s="7">
        <v>9</v>
      </c>
      <c r="B688" s="4">
        <v>17</v>
      </c>
      <c r="C688" s="59" t="s">
        <v>729</v>
      </c>
      <c r="D688" s="6" t="s">
        <v>77</v>
      </c>
      <c r="E688" s="6" t="s">
        <v>77</v>
      </c>
      <c r="F688" s="6">
        <v>456498</v>
      </c>
      <c r="G688" s="6">
        <v>42779</v>
      </c>
      <c r="H688" s="6">
        <v>499277</v>
      </c>
      <c r="I688" s="6">
        <v>390877</v>
      </c>
      <c r="J688" s="6">
        <v>74435</v>
      </c>
      <c r="K688" s="6">
        <v>465312</v>
      </c>
      <c r="L688" s="6">
        <v>847375</v>
      </c>
      <c r="M688" s="6">
        <v>117214</v>
      </c>
      <c r="N688" s="6">
        <v>964589</v>
      </c>
      <c r="O688" s="6">
        <v>472027</v>
      </c>
      <c r="P688" s="6">
        <v>24451</v>
      </c>
      <c r="Q688" s="6">
        <v>2763</v>
      </c>
      <c r="R688" s="6">
        <v>36</v>
      </c>
      <c r="S688" s="6">
        <v>499277</v>
      </c>
      <c r="T688" s="6">
        <v>432761</v>
      </c>
      <c r="U688" s="6">
        <v>31539</v>
      </c>
      <c r="V688" s="6">
        <v>824</v>
      </c>
      <c r="W688" s="6">
        <v>188</v>
      </c>
      <c r="X688" s="6">
        <v>465312</v>
      </c>
      <c r="Y688" s="6">
        <v>964589</v>
      </c>
    </row>
    <row r="689" spans="1:25" x14ac:dyDescent="0.25">
      <c r="A689" s="7">
        <v>10</v>
      </c>
      <c r="B689" s="4">
        <v>18</v>
      </c>
      <c r="C689" s="59" t="s">
        <v>730</v>
      </c>
      <c r="D689" s="6" t="s">
        <v>77</v>
      </c>
      <c r="E689" s="6" t="s">
        <v>77</v>
      </c>
      <c r="F689" s="6">
        <v>488226</v>
      </c>
      <c r="G689" s="6">
        <v>5505</v>
      </c>
      <c r="H689" s="6">
        <v>493731</v>
      </c>
      <c r="I689" s="6">
        <v>379489</v>
      </c>
      <c r="J689" s="6">
        <v>3852</v>
      </c>
      <c r="K689" s="6">
        <v>383341</v>
      </c>
      <c r="L689" s="6">
        <v>867715</v>
      </c>
      <c r="M689" s="6">
        <v>9357</v>
      </c>
      <c r="N689" s="6">
        <v>877072</v>
      </c>
      <c r="O689" s="6">
        <v>465199</v>
      </c>
      <c r="P689" s="6">
        <v>25603</v>
      </c>
      <c r="Q689" s="6">
        <v>2884</v>
      </c>
      <c r="R689" s="6">
        <v>45</v>
      </c>
      <c r="S689" s="6">
        <v>493731</v>
      </c>
      <c r="T689" s="6">
        <v>351411</v>
      </c>
      <c r="U689" s="6">
        <v>30516</v>
      </c>
      <c r="V689" s="6">
        <v>1344</v>
      </c>
      <c r="W689" s="6">
        <v>70</v>
      </c>
      <c r="X689" s="6">
        <v>383341</v>
      </c>
      <c r="Y689" s="6">
        <v>877072</v>
      </c>
    </row>
    <row r="690" spans="1:25" x14ac:dyDescent="0.25">
      <c r="A690" s="7">
        <v>11</v>
      </c>
      <c r="B690" s="4">
        <v>19</v>
      </c>
      <c r="C690" s="59" t="s">
        <v>731</v>
      </c>
      <c r="D690" s="6" t="s">
        <v>77</v>
      </c>
      <c r="E690" s="6" t="s">
        <v>77</v>
      </c>
      <c r="F690" s="6">
        <v>833175</v>
      </c>
      <c r="G690" s="6">
        <v>3156</v>
      </c>
      <c r="H690" s="6">
        <v>836331</v>
      </c>
      <c r="I690" s="6">
        <v>556930</v>
      </c>
      <c r="J690" s="6">
        <v>3196</v>
      </c>
      <c r="K690" s="6">
        <v>560126</v>
      </c>
      <c r="L690" s="6">
        <v>1390105</v>
      </c>
      <c r="M690" s="6">
        <v>6352</v>
      </c>
      <c r="N690" s="6">
        <v>1396457</v>
      </c>
      <c r="O690" s="6">
        <v>788724</v>
      </c>
      <c r="P690" s="6">
        <v>42085</v>
      </c>
      <c r="Q690" s="6">
        <v>5458</v>
      </c>
      <c r="R690" s="6">
        <v>64</v>
      </c>
      <c r="S690" s="6">
        <v>836331</v>
      </c>
      <c r="T690" s="6">
        <v>499730</v>
      </c>
      <c r="U690" s="6">
        <v>58245</v>
      </c>
      <c r="V690" s="6">
        <v>2020</v>
      </c>
      <c r="W690" s="6">
        <v>131</v>
      </c>
      <c r="X690" s="6">
        <v>560126</v>
      </c>
      <c r="Y690" s="6">
        <v>1396457</v>
      </c>
    </row>
    <row r="691" spans="1:25" x14ac:dyDescent="0.25">
      <c r="A691" s="7">
        <v>12</v>
      </c>
      <c r="B691" s="4">
        <v>20</v>
      </c>
      <c r="C691" s="59" t="s">
        <v>732</v>
      </c>
      <c r="D691" s="6" t="s">
        <v>77</v>
      </c>
      <c r="E691" s="6" t="s">
        <v>77</v>
      </c>
      <c r="F691" s="6">
        <v>915075</v>
      </c>
      <c r="G691" s="6">
        <v>10532</v>
      </c>
      <c r="H691" s="6">
        <v>925607</v>
      </c>
      <c r="I691" s="6">
        <v>550540</v>
      </c>
      <c r="J691" s="6">
        <v>2585</v>
      </c>
      <c r="K691" s="6">
        <v>553125</v>
      </c>
      <c r="L691" s="6">
        <v>1465615</v>
      </c>
      <c r="M691" s="6">
        <v>13117</v>
      </c>
      <c r="N691" s="6">
        <v>1478732</v>
      </c>
      <c r="O691" s="6">
        <v>870358</v>
      </c>
      <c r="P691" s="6">
        <v>51271</v>
      </c>
      <c r="Q691" s="6">
        <v>3900</v>
      </c>
      <c r="R691" s="6">
        <v>78</v>
      </c>
      <c r="S691" s="6">
        <v>925607</v>
      </c>
      <c r="T691" s="6">
        <v>496751</v>
      </c>
      <c r="U691" s="6">
        <v>52748</v>
      </c>
      <c r="V691" s="6">
        <v>3488</v>
      </c>
      <c r="W691" s="6">
        <v>138</v>
      </c>
      <c r="X691" s="6">
        <v>553125</v>
      </c>
      <c r="Y691" s="6">
        <v>1478732</v>
      </c>
    </row>
    <row r="692" spans="1:25" x14ac:dyDescent="0.25">
      <c r="A692" s="7">
        <v>13</v>
      </c>
      <c r="B692" s="4">
        <v>21</v>
      </c>
      <c r="C692" s="59" t="s">
        <v>733</v>
      </c>
      <c r="D692" s="6" t="s">
        <v>77</v>
      </c>
      <c r="E692" s="6" t="s">
        <v>77</v>
      </c>
      <c r="F692" s="6">
        <v>937765</v>
      </c>
      <c r="G692" s="6">
        <v>2904</v>
      </c>
      <c r="H692" s="6">
        <v>940669</v>
      </c>
      <c r="I692" s="6">
        <v>445313</v>
      </c>
      <c r="J692" s="6">
        <v>12201</v>
      </c>
      <c r="K692" s="6">
        <v>457514</v>
      </c>
      <c r="L692" s="6">
        <v>1383078</v>
      </c>
      <c r="M692" s="6">
        <v>15105</v>
      </c>
      <c r="N692" s="6">
        <v>1398183</v>
      </c>
      <c r="O692" s="6">
        <v>876524</v>
      </c>
      <c r="P692" s="6">
        <v>61445</v>
      </c>
      <c r="Q692" s="6">
        <v>2678</v>
      </c>
      <c r="R692" s="6">
        <v>22</v>
      </c>
      <c r="S692" s="6">
        <v>940669</v>
      </c>
      <c r="T692" s="6">
        <v>402584</v>
      </c>
      <c r="U692" s="6">
        <v>52163</v>
      </c>
      <c r="V692" s="6">
        <v>2697</v>
      </c>
      <c r="W692" s="6">
        <v>70</v>
      </c>
      <c r="X692" s="6">
        <v>457514</v>
      </c>
      <c r="Y692" s="6">
        <v>1398183</v>
      </c>
    </row>
    <row r="693" spans="1:25" x14ac:dyDescent="0.25">
      <c r="A693" s="7">
        <v>14</v>
      </c>
      <c r="B693" s="4">
        <v>22</v>
      </c>
      <c r="C693" s="60" t="s">
        <v>734</v>
      </c>
      <c r="D693" s="6" t="s">
        <v>77</v>
      </c>
      <c r="E693" s="6" t="s">
        <v>77</v>
      </c>
      <c r="F693" s="6">
        <v>800679</v>
      </c>
      <c r="G693" s="6">
        <v>0</v>
      </c>
      <c r="H693" s="6">
        <v>800679</v>
      </c>
      <c r="I693" s="6">
        <v>343793</v>
      </c>
      <c r="J693" s="6">
        <v>0</v>
      </c>
      <c r="K693" s="6">
        <v>343793</v>
      </c>
      <c r="L693" s="6">
        <v>1144472</v>
      </c>
      <c r="M693" s="6">
        <v>0</v>
      </c>
      <c r="N693" s="6">
        <v>1144472</v>
      </c>
      <c r="O693" s="6">
        <v>734845</v>
      </c>
      <c r="P693" s="6">
        <v>62200</v>
      </c>
      <c r="Q693" s="6">
        <v>3628</v>
      </c>
      <c r="R693" s="6">
        <v>6</v>
      </c>
      <c r="S693" s="6">
        <v>800679</v>
      </c>
      <c r="T693" s="6">
        <v>302490</v>
      </c>
      <c r="U693" s="6">
        <v>40392</v>
      </c>
      <c r="V693" s="6">
        <v>887</v>
      </c>
      <c r="W693" s="6">
        <v>24</v>
      </c>
      <c r="X693" s="6">
        <v>343793</v>
      </c>
      <c r="Y693" s="6">
        <v>1144472</v>
      </c>
    </row>
    <row r="694" spans="1:25" x14ac:dyDescent="0.25">
      <c r="A694" s="7">
        <v>15</v>
      </c>
      <c r="B694" s="4">
        <v>23</v>
      </c>
      <c r="C694" s="7"/>
      <c r="D694" s="6" t="s">
        <v>77</v>
      </c>
      <c r="E694" s="6" t="s">
        <v>77</v>
      </c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25">
      <c r="A695" s="7">
        <v>16</v>
      </c>
      <c r="B695" s="4">
        <v>24</v>
      </c>
      <c r="C695" s="7"/>
      <c r="D695" s="6" t="s">
        <v>77</v>
      </c>
      <c r="E695" s="6" t="s">
        <v>77</v>
      </c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25">
      <c r="A696" s="7">
        <v>17</v>
      </c>
      <c r="B696" s="4">
        <v>25</v>
      </c>
      <c r="C696" s="7"/>
      <c r="D696" s="6" t="s">
        <v>77</v>
      </c>
      <c r="E696" s="6" t="s">
        <v>77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2026-08-05T10:41:47Z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