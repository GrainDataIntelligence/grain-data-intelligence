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yburgh Swiegers\Projects\Codex_GDI\"/>
    </mc:Choice>
  </mc:AlternateContent>
  <xr:revisionPtr revIDLastSave="0" documentId="13_ncr:1_{431322DF-08A5-4766-90AD-420D04584E73}" xr6:coauthVersionLast="47" xr6:coauthVersionMax="47" xr10:uidLastSave="{00000000-0000-0000-0000-000000000000}"/>
  <bookViews>
    <workbookView xWindow="28680" yWindow="-120" windowWidth="29040" windowHeight="15840" xr2:uid="{6693F6C1-23A1-4B5A-AE22-8DB37162EABB}"/>
  </bookViews>
  <sheets>
    <sheet name="White RSA Exports" sheetId="1" r:id="rId1"/>
    <sheet name="YELLOW RSA EXPORT" sheetId="2" r:id="rId2"/>
  </sheets>
  <definedNames>
    <definedName name="_xlnm._FilterDatabase" localSheetId="0" hidden="1">'White RSA Exports'!#REF!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D318" i="2" l="1"/>
  <c r="AE318" i="2"/>
  <c r="AD317" i="2"/>
  <c r="AF317" i="2" s="1"/>
  <c r="AE317" i="2"/>
  <c r="AF318" i="2" l="1"/>
  <c r="Z317" i="1"/>
  <c r="Z316" i="1"/>
  <c r="Y318" i="1"/>
  <c r="Y317" i="1"/>
  <c r="Y316" i="1"/>
  <c r="X318" i="1"/>
  <c r="Z318" i="1" s="1"/>
  <c r="X317" i="1"/>
  <c r="X316" i="1"/>
  <c r="AD316" i="2" l="1"/>
  <c r="AE316" i="2"/>
  <c r="AD315" i="2"/>
  <c r="AG315" i="2" s="1"/>
  <c r="AE315" i="2"/>
  <c r="AH315" i="2" s="1"/>
  <c r="AD314" i="2"/>
  <c r="AE314" i="2"/>
  <c r="AD313" i="2"/>
  <c r="AE313" i="2"/>
  <c r="X315" i="1"/>
  <c r="AA315" i="1" s="1"/>
  <c r="AA316" i="1" s="1"/>
  <c r="AA317" i="1" s="1"/>
  <c r="AA318" i="1" s="1"/>
  <c r="Y315" i="1"/>
  <c r="AB315" i="1" s="1"/>
  <c r="AB316" i="1" s="1"/>
  <c r="AB317" i="1" s="1"/>
  <c r="AB318" i="1" s="1"/>
  <c r="AF314" i="2" l="1"/>
  <c r="AF313" i="2"/>
  <c r="AF315" i="2"/>
  <c r="AI315" i="2" s="1"/>
  <c r="AG316" i="2"/>
  <c r="AG317" i="2" s="1"/>
  <c r="AG318" i="2" s="1"/>
  <c r="AF316" i="2"/>
  <c r="AH316" i="2"/>
  <c r="AH317" i="2" s="1"/>
  <c r="AH318" i="2" s="1"/>
  <c r="Z315" i="1"/>
  <c r="AC315" i="1" s="1"/>
  <c r="AC316" i="1" s="1"/>
  <c r="AC317" i="1" s="1"/>
  <c r="AC318" i="1" s="1"/>
  <c r="Y314" i="1"/>
  <c r="X314" i="1"/>
  <c r="AI316" i="2" l="1"/>
  <c r="AI317" i="2" s="1"/>
  <c r="AI318" i="2" s="1"/>
  <c r="Z314" i="1"/>
  <c r="X3" i="1" l="1"/>
  <c r="Y3" i="1"/>
  <c r="X4" i="1"/>
  <c r="Y4" i="1"/>
  <c r="X5" i="1"/>
  <c r="Y5" i="1"/>
  <c r="X6" i="1"/>
  <c r="Y6" i="1"/>
  <c r="X7" i="1"/>
  <c r="Y7" i="1"/>
  <c r="X8" i="1"/>
  <c r="Y8" i="1"/>
  <c r="X9" i="1"/>
  <c r="Y9" i="1"/>
  <c r="X10" i="1"/>
  <c r="Y10" i="1"/>
  <c r="Z10" i="1" s="1"/>
  <c r="X11" i="1"/>
  <c r="Y11" i="1"/>
  <c r="X12" i="1"/>
  <c r="Y12" i="1"/>
  <c r="X13" i="1"/>
  <c r="Y13" i="1"/>
  <c r="X14" i="1"/>
  <c r="Y14" i="1"/>
  <c r="X15" i="1"/>
  <c r="Y15" i="1"/>
  <c r="X16" i="1"/>
  <c r="Y16" i="1"/>
  <c r="X17" i="1"/>
  <c r="Y17" i="1"/>
  <c r="X18" i="1"/>
  <c r="Y18" i="1"/>
  <c r="X19" i="1"/>
  <c r="Y19" i="1"/>
  <c r="X20" i="1"/>
  <c r="Y20" i="1"/>
  <c r="X21" i="1"/>
  <c r="Y21" i="1"/>
  <c r="X22" i="1"/>
  <c r="Y22" i="1"/>
  <c r="X23" i="1"/>
  <c r="Y23" i="1"/>
  <c r="X24" i="1"/>
  <c r="Y24" i="1"/>
  <c r="X25" i="1"/>
  <c r="Y25" i="1"/>
  <c r="X26" i="1"/>
  <c r="Y26" i="1"/>
  <c r="Z26" i="1" s="1"/>
  <c r="X27" i="1"/>
  <c r="Y27" i="1"/>
  <c r="X28" i="1"/>
  <c r="Y28" i="1"/>
  <c r="X29" i="1"/>
  <c r="Y29" i="1"/>
  <c r="X30" i="1"/>
  <c r="Y30" i="1"/>
  <c r="X31" i="1"/>
  <c r="Y31" i="1"/>
  <c r="X32" i="1"/>
  <c r="Y32" i="1"/>
  <c r="X33" i="1"/>
  <c r="Y33" i="1"/>
  <c r="X34" i="1"/>
  <c r="Y34" i="1"/>
  <c r="X35" i="1"/>
  <c r="Y35" i="1"/>
  <c r="X36" i="1"/>
  <c r="Y36" i="1"/>
  <c r="X37" i="1"/>
  <c r="Y37" i="1"/>
  <c r="X38" i="1"/>
  <c r="Y38" i="1"/>
  <c r="X39" i="1"/>
  <c r="Y39" i="1"/>
  <c r="X40" i="1"/>
  <c r="Y40" i="1"/>
  <c r="X41" i="1"/>
  <c r="Y41" i="1"/>
  <c r="X42" i="1"/>
  <c r="Y42" i="1"/>
  <c r="X43" i="1"/>
  <c r="Y43" i="1"/>
  <c r="X44" i="1"/>
  <c r="Y44" i="1"/>
  <c r="X45" i="1"/>
  <c r="Y45" i="1"/>
  <c r="X46" i="1"/>
  <c r="Y46" i="1"/>
  <c r="X47" i="1"/>
  <c r="Y47" i="1"/>
  <c r="X48" i="1"/>
  <c r="Y48" i="1"/>
  <c r="X49" i="1"/>
  <c r="Y49" i="1"/>
  <c r="X50" i="1"/>
  <c r="Y50" i="1"/>
  <c r="X51" i="1"/>
  <c r="Y51" i="1"/>
  <c r="X52" i="1"/>
  <c r="Y52" i="1"/>
  <c r="X53" i="1"/>
  <c r="Y53" i="1"/>
  <c r="X54" i="1"/>
  <c r="Y54" i="1"/>
  <c r="X55" i="1"/>
  <c r="Y55" i="1"/>
  <c r="AB55" i="1" s="1"/>
  <c r="X56" i="1"/>
  <c r="Y56" i="1"/>
  <c r="X57" i="1"/>
  <c r="Y57" i="1"/>
  <c r="X58" i="1"/>
  <c r="Y58" i="1"/>
  <c r="X59" i="1"/>
  <c r="Y59" i="1"/>
  <c r="X60" i="1"/>
  <c r="Y60" i="1"/>
  <c r="X61" i="1"/>
  <c r="Y61" i="1"/>
  <c r="X62" i="1"/>
  <c r="Y62" i="1"/>
  <c r="X63" i="1"/>
  <c r="Y63" i="1"/>
  <c r="X64" i="1"/>
  <c r="Y64" i="1"/>
  <c r="X65" i="1"/>
  <c r="Y65" i="1"/>
  <c r="X66" i="1"/>
  <c r="Y66" i="1"/>
  <c r="X67" i="1"/>
  <c r="Y67" i="1"/>
  <c r="X68" i="1"/>
  <c r="Y68" i="1"/>
  <c r="X69" i="1"/>
  <c r="Y69" i="1"/>
  <c r="X70" i="1"/>
  <c r="Y70" i="1"/>
  <c r="X71" i="1"/>
  <c r="Y71" i="1"/>
  <c r="X72" i="1"/>
  <c r="Y72" i="1"/>
  <c r="X73" i="1"/>
  <c r="Y73" i="1"/>
  <c r="X74" i="1"/>
  <c r="Y74" i="1"/>
  <c r="X75" i="1"/>
  <c r="Y75" i="1"/>
  <c r="X76" i="1"/>
  <c r="Y76" i="1"/>
  <c r="X77" i="1"/>
  <c r="Y77" i="1"/>
  <c r="X78" i="1"/>
  <c r="Y78" i="1"/>
  <c r="X79" i="1"/>
  <c r="Y79" i="1"/>
  <c r="X80" i="1"/>
  <c r="Y80" i="1"/>
  <c r="X81" i="1"/>
  <c r="Y81" i="1"/>
  <c r="X82" i="1"/>
  <c r="Y82" i="1"/>
  <c r="X83" i="1"/>
  <c r="Y83" i="1"/>
  <c r="X84" i="1"/>
  <c r="Y84" i="1"/>
  <c r="X85" i="1"/>
  <c r="Y85" i="1"/>
  <c r="X86" i="1"/>
  <c r="Y86" i="1"/>
  <c r="X87" i="1"/>
  <c r="Y87" i="1"/>
  <c r="X88" i="1"/>
  <c r="Y88" i="1"/>
  <c r="X89" i="1"/>
  <c r="Y89" i="1"/>
  <c r="X90" i="1"/>
  <c r="Y90" i="1"/>
  <c r="X91" i="1"/>
  <c r="Y91" i="1"/>
  <c r="X92" i="1"/>
  <c r="Y92" i="1"/>
  <c r="X93" i="1"/>
  <c r="Y93" i="1"/>
  <c r="X94" i="1"/>
  <c r="Y94" i="1"/>
  <c r="X95" i="1"/>
  <c r="Y95" i="1"/>
  <c r="X96" i="1"/>
  <c r="Y96" i="1"/>
  <c r="X97" i="1"/>
  <c r="Y97" i="1"/>
  <c r="X98" i="1"/>
  <c r="Y98" i="1"/>
  <c r="X99" i="1"/>
  <c r="Y99" i="1"/>
  <c r="X100" i="1"/>
  <c r="Y100" i="1"/>
  <c r="X101" i="1"/>
  <c r="Y101" i="1"/>
  <c r="X102" i="1"/>
  <c r="Y102" i="1"/>
  <c r="X103" i="1"/>
  <c r="Y103" i="1"/>
  <c r="X104" i="1"/>
  <c r="Y104" i="1"/>
  <c r="X105" i="1"/>
  <c r="Y105" i="1"/>
  <c r="X106" i="1"/>
  <c r="Y106" i="1"/>
  <c r="X107" i="1"/>
  <c r="AA107" i="1" s="1"/>
  <c r="Y107" i="1"/>
  <c r="AB107" i="1" s="1"/>
  <c r="X108" i="1"/>
  <c r="Y108" i="1"/>
  <c r="X109" i="1"/>
  <c r="Y109" i="1"/>
  <c r="X110" i="1"/>
  <c r="Y110" i="1"/>
  <c r="X111" i="1"/>
  <c r="Y111" i="1"/>
  <c r="X112" i="1"/>
  <c r="Y112" i="1"/>
  <c r="X113" i="1"/>
  <c r="Y113" i="1"/>
  <c r="X114" i="1"/>
  <c r="Y114" i="1"/>
  <c r="X115" i="1"/>
  <c r="Y115" i="1"/>
  <c r="X116" i="1"/>
  <c r="Y116" i="1"/>
  <c r="X117" i="1"/>
  <c r="Y117" i="1"/>
  <c r="X118" i="1"/>
  <c r="Y118" i="1"/>
  <c r="X119" i="1"/>
  <c r="Y119" i="1"/>
  <c r="X120" i="1"/>
  <c r="Y120" i="1"/>
  <c r="X121" i="1"/>
  <c r="Y121" i="1"/>
  <c r="X122" i="1"/>
  <c r="Y122" i="1"/>
  <c r="X123" i="1"/>
  <c r="Y123" i="1"/>
  <c r="X124" i="1"/>
  <c r="Y124" i="1"/>
  <c r="X125" i="1"/>
  <c r="Y125" i="1"/>
  <c r="X126" i="1"/>
  <c r="Y126" i="1"/>
  <c r="X127" i="1"/>
  <c r="Y127" i="1"/>
  <c r="X128" i="1"/>
  <c r="Y128" i="1"/>
  <c r="X129" i="1"/>
  <c r="Y129" i="1"/>
  <c r="X130" i="1"/>
  <c r="Y130" i="1"/>
  <c r="X131" i="1"/>
  <c r="Y131" i="1"/>
  <c r="X132" i="1"/>
  <c r="Y132" i="1"/>
  <c r="X133" i="1"/>
  <c r="Y133" i="1"/>
  <c r="X134" i="1"/>
  <c r="Y134" i="1"/>
  <c r="X135" i="1"/>
  <c r="Y135" i="1"/>
  <c r="X136" i="1"/>
  <c r="Y136" i="1"/>
  <c r="X137" i="1"/>
  <c r="Y137" i="1"/>
  <c r="X138" i="1"/>
  <c r="Y138" i="1"/>
  <c r="X139" i="1"/>
  <c r="Y139" i="1"/>
  <c r="X140" i="1"/>
  <c r="Y140" i="1"/>
  <c r="X141" i="1"/>
  <c r="Y141" i="1"/>
  <c r="X142" i="1"/>
  <c r="Y142" i="1"/>
  <c r="X143" i="1"/>
  <c r="Y143" i="1"/>
  <c r="X144" i="1"/>
  <c r="Y144" i="1"/>
  <c r="X145" i="1"/>
  <c r="Y145" i="1"/>
  <c r="X146" i="1"/>
  <c r="Y146" i="1"/>
  <c r="X147" i="1"/>
  <c r="Y147" i="1"/>
  <c r="X148" i="1"/>
  <c r="Y148" i="1"/>
  <c r="X149" i="1"/>
  <c r="Y149" i="1"/>
  <c r="X150" i="1"/>
  <c r="Y150" i="1"/>
  <c r="X151" i="1"/>
  <c r="Y151" i="1"/>
  <c r="X152" i="1"/>
  <c r="Y152" i="1"/>
  <c r="X153" i="1"/>
  <c r="Y153" i="1"/>
  <c r="X154" i="1"/>
  <c r="Y154" i="1"/>
  <c r="X155" i="1"/>
  <c r="Y155" i="1"/>
  <c r="X156" i="1"/>
  <c r="Y156" i="1"/>
  <c r="X157" i="1"/>
  <c r="Y157" i="1"/>
  <c r="X158" i="1"/>
  <c r="Y158" i="1"/>
  <c r="X159" i="1"/>
  <c r="Y159" i="1"/>
  <c r="AB159" i="1" s="1"/>
  <c r="X160" i="1"/>
  <c r="Y160" i="1"/>
  <c r="X161" i="1"/>
  <c r="Y161" i="1"/>
  <c r="X162" i="1"/>
  <c r="Y162" i="1"/>
  <c r="X163" i="1"/>
  <c r="Y163" i="1"/>
  <c r="X164" i="1"/>
  <c r="Y164" i="1"/>
  <c r="X165" i="1"/>
  <c r="Y165" i="1"/>
  <c r="X166" i="1"/>
  <c r="Y166" i="1"/>
  <c r="X167" i="1"/>
  <c r="Y167" i="1"/>
  <c r="X168" i="1"/>
  <c r="Y168" i="1"/>
  <c r="X169" i="1"/>
  <c r="Y169" i="1"/>
  <c r="X170" i="1"/>
  <c r="Y170" i="1"/>
  <c r="X171" i="1"/>
  <c r="Y171" i="1"/>
  <c r="X172" i="1"/>
  <c r="Y172" i="1"/>
  <c r="X173" i="1"/>
  <c r="Y173" i="1"/>
  <c r="X174" i="1"/>
  <c r="Y174" i="1"/>
  <c r="X175" i="1"/>
  <c r="Y175" i="1"/>
  <c r="X176" i="1"/>
  <c r="Y176" i="1"/>
  <c r="X177" i="1"/>
  <c r="Y177" i="1"/>
  <c r="X178" i="1"/>
  <c r="Y178" i="1"/>
  <c r="X179" i="1"/>
  <c r="Y179" i="1"/>
  <c r="X180" i="1"/>
  <c r="Y180" i="1"/>
  <c r="X181" i="1"/>
  <c r="Y181" i="1"/>
  <c r="X182" i="1"/>
  <c r="Y182" i="1"/>
  <c r="X183" i="1"/>
  <c r="Y183" i="1"/>
  <c r="X184" i="1"/>
  <c r="Y184" i="1"/>
  <c r="X185" i="1"/>
  <c r="Y185" i="1"/>
  <c r="X186" i="1"/>
  <c r="Y186" i="1"/>
  <c r="X187" i="1"/>
  <c r="Y187" i="1"/>
  <c r="X188" i="1"/>
  <c r="Y188" i="1"/>
  <c r="X189" i="1"/>
  <c r="Y189" i="1"/>
  <c r="X190" i="1"/>
  <c r="Y190" i="1"/>
  <c r="X191" i="1"/>
  <c r="Y191" i="1"/>
  <c r="X192" i="1"/>
  <c r="Y192" i="1"/>
  <c r="X193" i="1"/>
  <c r="Y193" i="1"/>
  <c r="X194" i="1"/>
  <c r="Y194" i="1"/>
  <c r="X195" i="1"/>
  <c r="Y195" i="1"/>
  <c r="X196" i="1"/>
  <c r="Y196" i="1"/>
  <c r="X197" i="1"/>
  <c r="Y197" i="1"/>
  <c r="X198" i="1"/>
  <c r="Y198" i="1"/>
  <c r="X199" i="1"/>
  <c r="Y199" i="1"/>
  <c r="X200" i="1"/>
  <c r="Y200" i="1"/>
  <c r="X201" i="1"/>
  <c r="Y201" i="1"/>
  <c r="X202" i="1"/>
  <c r="Y202" i="1"/>
  <c r="X203" i="1"/>
  <c r="Y203" i="1"/>
  <c r="X204" i="1"/>
  <c r="Y204" i="1"/>
  <c r="X205" i="1"/>
  <c r="Y205" i="1"/>
  <c r="X206" i="1"/>
  <c r="Y206" i="1"/>
  <c r="X207" i="1"/>
  <c r="Y207" i="1"/>
  <c r="X208" i="1"/>
  <c r="Y208" i="1"/>
  <c r="X209" i="1"/>
  <c r="Y209" i="1"/>
  <c r="X210" i="1"/>
  <c r="Y210" i="1"/>
  <c r="X211" i="1"/>
  <c r="Y211" i="1"/>
  <c r="X212" i="1"/>
  <c r="Y212" i="1"/>
  <c r="X213" i="1"/>
  <c r="Y213" i="1"/>
  <c r="X214" i="1"/>
  <c r="Y214" i="1"/>
  <c r="X215" i="1"/>
  <c r="Y215" i="1"/>
  <c r="X216" i="1"/>
  <c r="Y216" i="1"/>
  <c r="X217" i="1"/>
  <c r="Y217" i="1"/>
  <c r="X218" i="1"/>
  <c r="Y218" i="1"/>
  <c r="X219" i="1"/>
  <c r="Y219" i="1"/>
  <c r="X220" i="1"/>
  <c r="Y220" i="1"/>
  <c r="X221" i="1"/>
  <c r="Y221" i="1"/>
  <c r="X222" i="1"/>
  <c r="Y222" i="1"/>
  <c r="X223" i="1"/>
  <c r="Y223" i="1"/>
  <c r="X224" i="1"/>
  <c r="Y224" i="1"/>
  <c r="X225" i="1"/>
  <c r="Y225" i="1"/>
  <c r="X226" i="1"/>
  <c r="Y226" i="1"/>
  <c r="X227" i="1"/>
  <c r="Y227" i="1"/>
  <c r="X228" i="1"/>
  <c r="Y228" i="1"/>
  <c r="X229" i="1"/>
  <c r="Y229" i="1"/>
  <c r="X230" i="1"/>
  <c r="Y230" i="1"/>
  <c r="X231" i="1"/>
  <c r="Y231" i="1"/>
  <c r="X232" i="1"/>
  <c r="Y232" i="1"/>
  <c r="X233" i="1"/>
  <c r="Y233" i="1"/>
  <c r="X234" i="1"/>
  <c r="Y234" i="1"/>
  <c r="X235" i="1"/>
  <c r="Y235" i="1"/>
  <c r="X236" i="1"/>
  <c r="Y236" i="1"/>
  <c r="X237" i="1"/>
  <c r="Y237" i="1"/>
  <c r="X238" i="1"/>
  <c r="Y238" i="1"/>
  <c r="X239" i="1"/>
  <c r="Y239" i="1"/>
  <c r="X240" i="1"/>
  <c r="Y240" i="1"/>
  <c r="X241" i="1"/>
  <c r="Y241" i="1"/>
  <c r="X242" i="1"/>
  <c r="Y242" i="1"/>
  <c r="X243" i="1"/>
  <c r="Y243" i="1"/>
  <c r="X244" i="1"/>
  <c r="Y244" i="1"/>
  <c r="X245" i="1"/>
  <c r="Y245" i="1"/>
  <c r="X246" i="1"/>
  <c r="Y246" i="1"/>
  <c r="X247" i="1"/>
  <c r="Y247" i="1"/>
  <c r="X248" i="1"/>
  <c r="Y248" i="1"/>
  <c r="X249" i="1"/>
  <c r="Y249" i="1"/>
  <c r="X250" i="1"/>
  <c r="Y250" i="1"/>
  <c r="X251" i="1"/>
  <c r="Y251" i="1"/>
  <c r="X252" i="1"/>
  <c r="Y252" i="1"/>
  <c r="X253" i="1"/>
  <c r="Y253" i="1"/>
  <c r="X254" i="1"/>
  <c r="Y254" i="1"/>
  <c r="X255" i="1"/>
  <c r="Y255" i="1"/>
  <c r="X256" i="1"/>
  <c r="Y256" i="1"/>
  <c r="X257" i="1"/>
  <c r="Y257" i="1"/>
  <c r="X258" i="1"/>
  <c r="Y258" i="1"/>
  <c r="X259" i="1"/>
  <c r="Y259" i="1"/>
  <c r="X260" i="1"/>
  <c r="Y260" i="1"/>
  <c r="X261" i="1"/>
  <c r="Y261" i="1"/>
  <c r="X262" i="1"/>
  <c r="Y262" i="1"/>
  <c r="X263" i="1"/>
  <c r="Y263" i="1"/>
  <c r="AB263" i="1" s="1"/>
  <c r="X264" i="1"/>
  <c r="Y264" i="1"/>
  <c r="X265" i="1"/>
  <c r="Y265" i="1"/>
  <c r="X266" i="1"/>
  <c r="Y266" i="1"/>
  <c r="X267" i="1"/>
  <c r="Y267" i="1"/>
  <c r="X268" i="1"/>
  <c r="Y268" i="1"/>
  <c r="X269" i="1"/>
  <c r="Y269" i="1"/>
  <c r="X270" i="1"/>
  <c r="Y270" i="1"/>
  <c r="X271" i="1"/>
  <c r="Y271" i="1"/>
  <c r="X272" i="1"/>
  <c r="Y272" i="1"/>
  <c r="X273" i="1"/>
  <c r="Y273" i="1"/>
  <c r="X274" i="1"/>
  <c r="Y274" i="1"/>
  <c r="X275" i="1"/>
  <c r="Y275" i="1"/>
  <c r="X276" i="1"/>
  <c r="Y276" i="1"/>
  <c r="X277" i="1"/>
  <c r="Y277" i="1"/>
  <c r="X278" i="1"/>
  <c r="Y278" i="1"/>
  <c r="X279" i="1"/>
  <c r="Y279" i="1"/>
  <c r="X280" i="1"/>
  <c r="Y280" i="1"/>
  <c r="X281" i="1"/>
  <c r="Y281" i="1"/>
  <c r="X282" i="1"/>
  <c r="Y282" i="1"/>
  <c r="X283" i="1"/>
  <c r="Y283" i="1"/>
  <c r="X284" i="1"/>
  <c r="Y284" i="1"/>
  <c r="X285" i="1"/>
  <c r="Y285" i="1"/>
  <c r="X286" i="1"/>
  <c r="Y286" i="1"/>
  <c r="X287" i="1"/>
  <c r="Y287" i="1"/>
  <c r="X288" i="1"/>
  <c r="Y288" i="1"/>
  <c r="X289" i="1"/>
  <c r="Y289" i="1"/>
  <c r="X290" i="1"/>
  <c r="Y290" i="1"/>
  <c r="X291" i="1"/>
  <c r="Y291" i="1"/>
  <c r="X292" i="1"/>
  <c r="Y292" i="1"/>
  <c r="X293" i="1"/>
  <c r="Y293" i="1"/>
  <c r="X294" i="1"/>
  <c r="Y294" i="1"/>
  <c r="X295" i="1"/>
  <c r="Y295" i="1"/>
  <c r="X296" i="1"/>
  <c r="Y296" i="1"/>
  <c r="X297" i="1"/>
  <c r="Y297" i="1"/>
  <c r="X298" i="1"/>
  <c r="Y298" i="1"/>
  <c r="X299" i="1"/>
  <c r="Y299" i="1"/>
  <c r="X300" i="1"/>
  <c r="Y300" i="1"/>
  <c r="X301" i="1"/>
  <c r="Y301" i="1"/>
  <c r="X302" i="1"/>
  <c r="Y302" i="1"/>
  <c r="X303" i="1"/>
  <c r="Y303" i="1"/>
  <c r="X304" i="1"/>
  <c r="Y304" i="1"/>
  <c r="X305" i="1"/>
  <c r="Y305" i="1"/>
  <c r="X306" i="1"/>
  <c r="Y306" i="1"/>
  <c r="X307" i="1"/>
  <c r="Y307" i="1"/>
  <c r="X308" i="1"/>
  <c r="Y308" i="1"/>
  <c r="X309" i="1"/>
  <c r="Y309" i="1"/>
  <c r="X310" i="1"/>
  <c r="Y310" i="1"/>
  <c r="X311" i="1"/>
  <c r="Y311" i="1"/>
  <c r="X312" i="1"/>
  <c r="Y312" i="1"/>
  <c r="X313" i="1"/>
  <c r="Y313" i="1"/>
  <c r="Y2" i="1"/>
  <c r="AB2" i="1" s="1"/>
  <c r="AB3" i="1" s="1"/>
  <c r="X2" i="1"/>
  <c r="AA2" i="1" s="1"/>
  <c r="AA3" i="1" s="1"/>
  <c r="Z43" i="1" l="1"/>
  <c r="Z298" i="1"/>
  <c r="Z250" i="1"/>
  <c r="Z98" i="1"/>
  <c r="Z94" i="1"/>
  <c r="Z92" i="1"/>
  <c r="Z66" i="1"/>
  <c r="Z50" i="1"/>
  <c r="Z46" i="1"/>
  <c r="Z44" i="1"/>
  <c r="AB56" i="1"/>
  <c r="AB57" i="1" s="1"/>
  <c r="AB58" i="1" s="1"/>
  <c r="AB59" i="1" s="1"/>
  <c r="AB60" i="1" s="1"/>
  <c r="AB61" i="1" s="1"/>
  <c r="AB62" i="1" s="1"/>
  <c r="AB63" i="1" s="1"/>
  <c r="AB64" i="1" s="1"/>
  <c r="AB65" i="1" s="1"/>
  <c r="AB66" i="1" s="1"/>
  <c r="AB67" i="1" s="1"/>
  <c r="AB68" i="1" s="1"/>
  <c r="AB69" i="1" s="1"/>
  <c r="AB70" i="1" s="1"/>
  <c r="AB71" i="1" s="1"/>
  <c r="AB72" i="1" s="1"/>
  <c r="AB73" i="1" s="1"/>
  <c r="AB74" i="1" s="1"/>
  <c r="AB75" i="1" s="1"/>
  <c r="AB76" i="1" s="1"/>
  <c r="AB77" i="1" s="1"/>
  <c r="AB78" i="1" s="1"/>
  <c r="AB79" i="1" s="1"/>
  <c r="AB80" i="1" s="1"/>
  <c r="AB81" i="1" s="1"/>
  <c r="AB82" i="1" s="1"/>
  <c r="AB83" i="1" s="1"/>
  <c r="AB84" i="1" s="1"/>
  <c r="AB85" i="1" s="1"/>
  <c r="AB86" i="1" s="1"/>
  <c r="AB87" i="1" s="1"/>
  <c r="AB88" i="1" s="1"/>
  <c r="AB89" i="1" s="1"/>
  <c r="AB90" i="1" s="1"/>
  <c r="AB91" i="1" s="1"/>
  <c r="AB92" i="1" s="1"/>
  <c r="AB93" i="1" s="1"/>
  <c r="AB94" i="1" s="1"/>
  <c r="AB95" i="1" s="1"/>
  <c r="AB96" i="1" s="1"/>
  <c r="AB97" i="1" s="1"/>
  <c r="AB98" i="1" s="1"/>
  <c r="AB99" i="1" s="1"/>
  <c r="AB100" i="1" s="1"/>
  <c r="AB101" i="1" s="1"/>
  <c r="AB102" i="1" s="1"/>
  <c r="AB103" i="1" s="1"/>
  <c r="AB104" i="1" s="1"/>
  <c r="AB105" i="1" s="1"/>
  <c r="AB106" i="1" s="1"/>
  <c r="Z297" i="1"/>
  <c r="Z291" i="1"/>
  <c r="Z283" i="1"/>
  <c r="Z279" i="1"/>
  <c r="Z203" i="1"/>
  <c r="Z199" i="1"/>
  <c r="Z169" i="1"/>
  <c r="Z163" i="1"/>
  <c r="Z137" i="1"/>
  <c r="Z123" i="1"/>
  <c r="Z295" i="1"/>
  <c r="Z281" i="1"/>
  <c r="Z275" i="1"/>
  <c r="Z267" i="1"/>
  <c r="Z201" i="1"/>
  <c r="Z195" i="1"/>
  <c r="Z187" i="1"/>
  <c r="Z171" i="1"/>
  <c r="Z167" i="1"/>
  <c r="Z139" i="1"/>
  <c r="Z135" i="1"/>
  <c r="Z131" i="1"/>
  <c r="AA4" i="1"/>
  <c r="AA5" i="1" s="1"/>
  <c r="AA6" i="1" s="1"/>
  <c r="AA7" i="1" s="1"/>
  <c r="AA8" i="1" s="1"/>
  <c r="AA9" i="1" s="1"/>
  <c r="AA10" i="1" s="1"/>
  <c r="AA11" i="1" s="1"/>
  <c r="AA12" i="1" s="1"/>
  <c r="AA13" i="1" s="1"/>
  <c r="AA14" i="1" s="1"/>
  <c r="AA15" i="1" s="1"/>
  <c r="AA16" i="1" s="1"/>
  <c r="AA17" i="1" s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AA28" i="1" s="1"/>
  <c r="AA29" i="1" s="1"/>
  <c r="AA30" i="1" s="1"/>
  <c r="AA31" i="1" s="1"/>
  <c r="AA32" i="1" s="1"/>
  <c r="AA33" i="1" s="1"/>
  <c r="AA34" i="1" s="1"/>
  <c r="AA35" i="1" s="1"/>
  <c r="AA36" i="1" s="1"/>
  <c r="AA37" i="1" s="1"/>
  <c r="AA38" i="1" s="1"/>
  <c r="AA39" i="1" s="1"/>
  <c r="AA40" i="1" s="1"/>
  <c r="AA41" i="1" s="1"/>
  <c r="AA42" i="1" s="1"/>
  <c r="AA43" i="1" s="1"/>
  <c r="AA44" i="1" s="1"/>
  <c r="AA45" i="1" s="1"/>
  <c r="AA46" i="1" s="1"/>
  <c r="AA47" i="1" s="1"/>
  <c r="AA48" i="1" s="1"/>
  <c r="AA49" i="1" s="1"/>
  <c r="AA50" i="1" s="1"/>
  <c r="AA51" i="1" s="1"/>
  <c r="AA52" i="1" s="1"/>
  <c r="AA53" i="1" s="1"/>
  <c r="AA54" i="1" s="1"/>
  <c r="Z27" i="1"/>
  <c r="Z25" i="1"/>
  <c r="Z23" i="1"/>
  <c r="Z19" i="1"/>
  <c r="Z11" i="1"/>
  <c r="Z9" i="1"/>
  <c r="Z91" i="1"/>
  <c r="Z34" i="1"/>
  <c r="Z30" i="1"/>
  <c r="Z28" i="1"/>
  <c r="Z186" i="1"/>
  <c r="Z154" i="1"/>
  <c r="Z122" i="1"/>
  <c r="Z251" i="1"/>
  <c r="Z194" i="1"/>
  <c r="Z190" i="1"/>
  <c r="Z188" i="1"/>
  <c r="Z105" i="1"/>
  <c r="Z103" i="1"/>
  <c r="Z99" i="1"/>
  <c r="Z75" i="1"/>
  <c r="Z73" i="1"/>
  <c r="Z71" i="1"/>
  <c r="Z67" i="1"/>
  <c r="Z59" i="1"/>
  <c r="Z265" i="1"/>
  <c r="Z263" i="1"/>
  <c r="AC263" i="1" s="1"/>
  <c r="Z219" i="1"/>
  <c r="Z162" i="1"/>
  <c r="Z158" i="1"/>
  <c r="Z156" i="1"/>
  <c r="Z130" i="1"/>
  <c r="Z126" i="1"/>
  <c r="Z124" i="1"/>
  <c r="Z90" i="1"/>
  <c r="Z235" i="1"/>
  <c r="AB160" i="1"/>
  <c r="AB161" i="1" s="1"/>
  <c r="AB162" i="1" s="1"/>
  <c r="AB163" i="1" s="1"/>
  <c r="AB164" i="1" s="1"/>
  <c r="AB165" i="1" s="1"/>
  <c r="AB166" i="1" s="1"/>
  <c r="AB167" i="1" s="1"/>
  <c r="AB168" i="1" s="1"/>
  <c r="AB169" i="1" s="1"/>
  <c r="AB170" i="1" s="1"/>
  <c r="AB171" i="1" s="1"/>
  <c r="AB172" i="1" s="1"/>
  <c r="AB173" i="1" s="1"/>
  <c r="AB174" i="1" s="1"/>
  <c r="AB175" i="1" s="1"/>
  <c r="AB176" i="1" s="1"/>
  <c r="AB177" i="1" s="1"/>
  <c r="AB178" i="1" s="1"/>
  <c r="AB179" i="1" s="1"/>
  <c r="AB180" i="1" s="1"/>
  <c r="AB181" i="1" s="1"/>
  <c r="AB182" i="1" s="1"/>
  <c r="AB183" i="1" s="1"/>
  <c r="AB184" i="1" s="1"/>
  <c r="AB185" i="1" s="1"/>
  <c r="AB186" i="1" s="1"/>
  <c r="AB187" i="1" s="1"/>
  <c r="AB188" i="1" s="1"/>
  <c r="AB189" i="1" s="1"/>
  <c r="AB190" i="1" s="1"/>
  <c r="AB191" i="1" s="1"/>
  <c r="AB192" i="1" s="1"/>
  <c r="AB193" i="1" s="1"/>
  <c r="AB194" i="1" s="1"/>
  <c r="AB195" i="1" s="1"/>
  <c r="AB196" i="1" s="1"/>
  <c r="AB197" i="1" s="1"/>
  <c r="AB198" i="1" s="1"/>
  <c r="AB199" i="1" s="1"/>
  <c r="AB200" i="1" s="1"/>
  <c r="AB201" i="1" s="1"/>
  <c r="AB202" i="1" s="1"/>
  <c r="AB203" i="1" s="1"/>
  <c r="AB204" i="1" s="1"/>
  <c r="AB205" i="1" s="1"/>
  <c r="AB206" i="1" s="1"/>
  <c r="AB207" i="1" s="1"/>
  <c r="AB208" i="1" s="1"/>
  <c r="AB209" i="1" s="1"/>
  <c r="AB210" i="1" s="1"/>
  <c r="Z155" i="1"/>
  <c r="Z107" i="1"/>
  <c r="AC107" i="1" s="1"/>
  <c r="Z3" i="1"/>
  <c r="Z247" i="1"/>
  <c r="Z243" i="1"/>
  <c r="Z226" i="1"/>
  <c r="Z220" i="1"/>
  <c r="Z259" i="1"/>
  <c r="Z242" i="1"/>
  <c r="Z238" i="1"/>
  <c r="Z236" i="1"/>
  <c r="Z234" i="1"/>
  <c r="Z233" i="1"/>
  <c r="Z231" i="1"/>
  <c r="Z227" i="1"/>
  <c r="AB211" i="1"/>
  <c r="Z217" i="1"/>
  <c r="Z215" i="1"/>
  <c r="AA211" i="1"/>
  <c r="Z178" i="1"/>
  <c r="Z174" i="1"/>
  <c r="Z172" i="1"/>
  <c r="Z170" i="1"/>
  <c r="Z153" i="1"/>
  <c r="Z151" i="1"/>
  <c r="Z147" i="1"/>
  <c r="Z114" i="1"/>
  <c r="Z110" i="1"/>
  <c r="Z108" i="1"/>
  <c r="Z106" i="1"/>
  <c r="Z89" i="1"/>
  <c r="Z87" i="1"/>
  <c r="Z83" i="1"/>
  <c r="Z252" i="1"/>
  <c r="Z249" i="1"/>
  <c r="Z222" i="1"/>
  <c r="Z258" i="1"/>
  <c r="Z254" i="1"/>
  <c r="Z218" i="1"/>
  <c r="Z210" i="1"/>
  <c r="Z206" i="1"/>
  <c r="Z204" i="1"/>
  <c r="Z202" i="1"/>
  <c r="Z185" i="1"/>
  <c r="Z183" i="1"/>
  <c r="Z179" i="1"/>
  <c r="Z146" i="1"/>
  <c r="Z142" i="1"/>
  <c r="Z140" i="1"/>
  <c r="Z138" i="1"/>
  <c r="Z121" i="1"/>
  <c r="Z119" i="1"/>
  <c r="Z115" i="1"/>
  <c r="AB108" i="1"/>
  <c r="AB109" i="1" s="1"/>
  <c r="AB110" i="1" s="1"/>
  <c r="AB111" i="1" s="1"/>
  <c r="AB112" i="1" s="1"/>
  <c r="AB113" i="1" s="1"/>
  <c r="AB114" i="1" s="1"/>
  <c r="AB115" i="1" s="1"/>
  <c r="AB116" i="1" s="1"/>
  <c r="AB117" i="1" s="1"/>
  <c r="AB118" i="1" s="1"/>
  <c r="AB119" i="1" s="1"/>
  <c r="AB120" i="1" s="1"/>
  <c r="AB121" i="1" s="1"/>
  <c r="AB122" i="1" s="1"/>
  <c r="AB123" i="1" s="1"/>
  <c r="AB124" i="1" s="1"/>
  <c r="AB125" i="1" s="1"/>
  <c r="AB126" i="1" s="1"/>
  <c r="AB127" i="1" s="1"/>
  <c r="AB128" i="1" s="1"/>
  <c r="AB129" i="1" s="1"/>
  <c r="AB130" i="1" s="1"/>
  <c r="AB131" i="1" s="1"/>
  <c r="AB132" i="1" s="1"/>
  <c r="AB133" i="1" s="1"/>
  <c r="AB134" i="1" s="1"/>
  <c r="AB135" i="1" s="1"/>
  <c r="AB136" i="1" s="1"/>
  <c r="AB137" i="1" s="1"/>
  <c r="AB138" i="1" s="1"/>
  <c r="AB139" i="1" s="1"/>
  <c r="AB140" i="1" s="1"/>
  <c r="AB141" i="1" s="1"/>
  <c r="AB142" i="1" s="1"/>
  <c r="AB143" i="1" s="1"/>
  <c r="AB144" i="1" s="1"/>
  <c r="AB145" i="1" s="1"/>
  <c r="AB146" i="1" s="1"/>
  <c r="AB147" i="1" s="1"/>
  <c r="AB148" i="1" s="1"/>
  <c r="AB149" i="1" s="1"/>
  <c r="AB150" i="1" s="1"/>
  <c r="AB151" i="1" s="1"/>
  <c r="AB152" i="1" s="1"/>
  <c r="AB153" i="1" s="1"/>
  <c r="AB154" i="1" s="1"/>
  <c r="AB155" i="1" s="1"/>
  <c r="AB156" i="1" s="1"/>
  <c r="AB157" i="1" s="1"/>
  <c r="AB158" i="1" s="1"/>
  <c r="Z82" i="1"/>
  <c r="Z78" i="1"/>
  <c r="Z76" i="1"/>
  <c r="Z74" i="1"/>
  <c r="Z57" i="1"/>
  <c r="Z51" i="1"/>
  <c r="Z18" i="1"/>
  <c r="Z14" i="1"/>
  <c r="Z12" i="1"/>
  <c r="Z62" i="1"/>
  <c r="Z60" i="1"/>
  <c r="Z58" i="1"/>
  <c r="Z41" i="1"/>
  <c r="Z39" i="1"/>
  <c r="Z35" i="1"/>
  <c r="Z42" i="1"/>
  <c r="Z306" i="1"/>
  <c r="Z300" i="1"/>
  <c r="Z313" i="1"/>
  <c r="Z311" i="1"/>
  <c r="Z307" i="1"/>
  <c r="Z299" i="1"/>
  <c r="Z302" i="1"/>
  <c r="Z290" i="1"/>
  <c r="Z286" i="1"/>
  <c r="Z284" i="1"/>
  <c r="Z282" i="1"/>
  <c r="Z274" i="1"/>
  <c r="Z270" i="1"/>
  <c r="Z268" i="1"/>
  <c r="Z266" i="1"/>
  <c r="Z308" i="1"/>
  <c r="Z303" i="1"/>
  <c r="Z294" i="1"/>
  <c r="Z289" i="1"/>
  <c r="Z278" i="1"/>
  <c r="Z276" i="1"/>
  <c r="Z273" i="1"/>
  <c r="Z271" i="1"/>
  <c r="Z262" i="1"/>
  <c r="Z260" i="1"/>
  <c r="Z257" i="1"/>
  <c r="Z255" i="1"/>
  <c r="Z246" i="1"/>
  <c r="Z244" i="1"/>
  <c r="Z241" i="1"/>
  <c r="Z239" i="1"/>
  <c r="Z230" i="1"/>
  <c r="Z228" i="1"/>
  <c r="Z225" i="1"/>
  <c r="Z223" i="1"/>
  <c r="Z214" i="1"/>
  <c r="Z212" i="1"/>
  <c r="Z209" i="1"/>
  <c r="Z207" i="1"/>
  <c r="Z198" i="1"/>
  <c r="Z196" i="1"/>
  <c r="Z193" i="1"/>
  <c r="Z191" i="1"/>
  <c r="Z182" i="1"/>
  <c r="Z180" i="1"/>
  <c r="Z177" i="1"/>
  <c r="Z166" i="1"/>
  <c r="Z164" i="1"/>
  <c r="Z161" i="1"/>
  <c r="Z150" i="1"/>
  <c r="Z148" i="1"/>
  <c r="Z145" i="1"/>
  <c r="Z134" i="1"/>
  <c r="Z132" i="1"/>
  <c r="Z129" i="1"/>
  <c r="Z118" i="1"/>
  <c r="Z116" i="1"/>
  <c r="Z113" i="1"/>
  <c r="Z102" i="1"/>
  <c r="Z100" i="1"/>
  <c r="Z97" i="1"/>
  <c r="Z86" i="1"/>
  <c r="Z84" i="1"/>
  <c r="Z81" i="1"/>
  <c r="Z70" i="1"/>
  <c r="Z68" i="1"/>
  <c r="Z65" i="1"/>
  <c r="Z54" i="1"/>
  <c r="Z52" i="1"/>
  <c r="Z49" i="1"/>
  <c r="Z38" i="1"/>
  <c r="Z36" i="1"/>
  <c r="Z33" i="1"/>
  <c r="Z22" i="1"/>
  <c r="Z20" i="1"/>
  <c r="Z17" i="1"/>
  <c r="Z6" i="1"/>
  <c r="Z4" i="1"/>
  <c r="AB4" i="1"/>
  <c r="AB5" i="1" s="1"/>
  <c r="AB6" i="1" s="1"/>
  <c r="AB7" i="1" s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AB33" i="1" s="1"/>
  <c r="AB34" i="1" s="1"/>
  <c r="AB35" i="1" s="1"/>
  <c r="AB36" i="1" s="1"/>
  <c r="AB37" i="1" s="1"/>
  <c r="AB38" i="1" s="1"/>
  <c r="AB39" i="1" s="1"/>
  <c r="AB40" i="1" s="1"/>
  <c r="AB41" i="1" s="1"/>
  <c r="AB42" i="1" s="1"/>
  <c r="AB43" i="1" s="1"/>
  <c r="AB44" i="1" s="1"/>
  <c r="AB45" i="1" s="1"/>
  <c r="AB46" i="1" s="1"/>
  <c r="AB47" i="1" s="1"/>
  <c r="AB48" i="1" s="1"/>
  <c r="AB49" i="1" s="1"/>
  <c r="AB50" i="1" s="1"/>
  <c r="AB51" i="1" s="1"/>
  <c r="AB52" i="1" s="1"/>
  <c r="AB53" i="1" s="1"/>
  <c r="AB54" i="1" s="1"/>
  <c r="Z310" i="1"/>
  <c r="Z305" i="1"/>
  <c r="Z292" i="1"/>
  <c r="Z287" i="1"/>
  <c r="AB264" i="1"/>
  <c r="AB265" i="1" s="1"/>
  <c r="AB266" i="1" s="1"/>
  <c r="AB267" i="1" s="1"/>
  <c r="AB268" i="1" s="1"/>
  <c r="AB269" i="1" s="1"/>
  <c r="AB270" i="1" s="1"/>
  <c r="AB271" i="1" s="1"/>
  <c r="AB272" i="1" s="1"/>
  <c r="AB273" i="1" s="1"/>
  <c r="AB274" i="1" s="1"/>
  <c r="AB275" i="1" s="1"/>
  <c r="AB276" i="1" s="1"/>
  <c r="AB277" i="1" s="1"/>
  <c r="AB278" i="1" s="1"/>
  <c r="AB279" i="1" s="1"/>
  <c r="AB280" i="1" s="1"/>
  <c r="AB281" i="1" s="1"/>
  <c r="AB282" i="1" s="1"/>
  <c r="AB283" i="1" s="1"/>
  <c r="AB284" i="1" s="1"/>
  <c r="AB285" i="1" s="1"/>
  <c r="AB286" i="1" s="1"/>
  <c r="AB287" i="1" s="1"/>
  <c r="AB288" i="1" s="1"/>
  <c r="AB289" i="1" s="1"/>
  <c r="AB290" i="1" s="1"/>
  <c r="AB291" i="1" s="1"/>
  <c r="AB292" i="1" s="1"/>
  <c r="AB293" i="1" s="1"/>
  <c r="AB294" i="1" s="1"/>
  <c r="AB295" i="1" s="1"/>
  <c r="AB296" i="1" s="1"/>
  <c r="AB297" i="1" s="1"/>
  <c r="AB298" i="1" s="1"/>
  <c r="AB299" i="1" s="1"/>
  <c r="AB300" i="1" s="1"/>
  <c r="AB301" i="1" s="1"/>
  <c r="AB302" i="1" s="1"/>
  <c r="AB303" i="1" s="1"/>
  <c r="AB304" i="1" s="1"/>
  <c r="AB305" i="1" s="1"/>
  <c r="AB306" i="1" s="1"/>
  <c r="AB307" i="1" s="1"/>
  <c r="AB308" i="1" s="1"/>
  <c r="AB309" i="1" s="1"/>
  <c r="AB310" i="1" s="1"/>
  <c r="AB311" i="1" s="1"/>
  <c r="AB312" i="1" s="1"/>
  <c r="AB313" i="1" s="1"/>
  <c r="AB314" i="1" s="1"/>
  <c r="Z211" i="1"/>
  <c r="AA108" i="1"/>
  <c r="AA109" i="1" s="1"/>
  <c r="AA110" i="1" s="1"/>
  <c r="AA111" i="1" s="1"/>
  <c r="AA112" i="1" s="1"/>
  <c r="AA113" i="1" s="1"/>
  <c r="AA114" i="1" s="1"/>
  <c r="AA115" i="1" s="1"/>
  <c r="AA116" i="1" s="1"/>
  <c r="AA117" i="1" s="1"/>
  <c r="AA118" i="1" s="1"/>
  <c r="AA119" i="1" s="1"/>
  <c r="AA120" i="1" s="1"/>
  <c r="AA121" i="1" s="1"/>
  <c r="AA122" i="1" s="1"/>
  <c r="AA123" i="1" s="1"/>
  <c r="AA124" i="1" s="1"/>
  <c r="AA125" i="1" s="1"/>
  <c r="AA126" i="1" s="1"/>
  <c r="AA127" i="1" s="1"/>
  <c r="AA128" i="1" s="1"/>
  <c r="AA129" i="1" s="1"/>
  <c r="AA130" i="1" s="1"/>
  <c r="AA131" i="1" s="1"/>
  <c r="AA132" i="1" s="1"/>
  <c r="AA133" i="1" s="1"/>
  <c r="AA134" i="1" s="1"/>
  <c r="AA135" i="1" s="1"/>
  <c r="AA136" i="1" s="1"/>
  <c r="AA137" i="1" s="1"/>
  <c r="AA138" i="1" s="1"/>
  <c r="AA139" i="1" s="1"/>
  <c r="AA140" i="1" s="1"/>
  <c r="AA141" i="1" s="1"/>
  <c r="AA142" i="1" s="1"/>
  <c r="AA143" i="1" s="1"/>
  <c r="AA144" i="1" s="1"/>
  <c r="AA145" i="1" s="1"/>
  <c r="AA146" i="1" s="1"/>
  <c r="AA147" i="1" s="1"/>
  <c r="AA148" i="1" s="1"/>
  <c r="AA149" i="1" s="1"/>
  <c r="AA150" i="1" s="1"/>
  <c r="AA151" i="1" s="1"/>
  <c r="AA152" i="1" s="1"/>
  <c r="AA153" i="1" s="1"/>
  <c r="AA154" i="1" s="1"/>
  <c r="AA155" i="1" s="1"/>
  <c r="AA156" i="1" s="1"/>
  <c r="AA157" i="1" s="1"/>
  <c r="AA158" i="1" s="1"/>
  <c r="Z7" i="1"/>
  <c r="Z2" i="1"/>
  <c r="AC2" i="1" s="1"/>
  <c r="Z312" i="1"/>
  <c r="Z309" i="1"/>
  <c r="Z304" i="1"/>
  <c r="Z301" i="1"/>
  <c r="Z296" i="1"/>
  <c r="Z293" i="1"/>
  <c r="Z288" i="1"/>
  <c r="Z285" i="1"/>
  <c r="Z280" i="1"/>
  <c r="Z277" i="1"/>
  <c r="Z272" i="1"/>
  <c r="Z269" i="1"/>
  <c r="Z264" i="1"/>
  <c r="Z261" i="1"/>
  <c r="Z256" i="1"/>
  <c r="Z253" i="1"/>
  <c r="Z248" i="1"/>
  <c r="Z245" i="1"/>
  <c r="Z240" i="1"/>
  <c r="Z237" i="1"/>
  <c r="Z232" i="1"/>
  <c r="Z229" i="1"/>
  <c r="Z224" i="1"/>
  <c r="Z221" i="1"/>
  <c r="Z216" i="1"/>
  <c r="Z213" i="1"/>
  <c r="Z208" i="1"/>
  <c r="Z205" i="1"/>
  <c r="Z200" i="1"/>
  <c r="Z197" i="1"/>
  <c r="Z192" i="1"/>
  <c r="Z189" i="1"/>
  <c r="Z184" i="1"/>
  <c r="Z175" i="1"/>
  <c r="Z159" i="1"/>
  <c r="AC159" i="1" s="1"/>
  <c r="Z143" i="1"/>
  <c r="Z127" i="1"/>
  <c r="Z111" i="1"/>
  <c r="Z95" i="1"/>
  <c r="Z79" i="1"/>
  <c r="Z63" i="1"/>
  <c r="Z47" i="1"/>
  <c r="Z31" i="1"/>
  <c r="Z15" i="1"/>
  <c r="AA263" i="1"/>
  <c r="AA264" i="1" s="1"/>
  <c r="AA265" i="1" s="1"/>
  <c r="AA266" i="1" s="1"/>
  <c r="AA267" i="1" s="1"/>
  <c r="AA268" i="1" s="1"/>
  <c r="AA269" i="1" s="1"/>
  <c r="AA270" i="1" s="1"/>
  <c r="AA271" i="1" s="1"/>
  <c r="AA272" i="1" s="1"/>
  <c r="AA273" i="1" s="1"/>
  <c r="AA274" i="1" s="1"/>
  <c r="AA275" i="1" s="1"/>
  <c r="AA276" i="1" s="1"/>
  <c r="AA277" i="1" s="1"/>
  <c r="AA278" i="1" s="1"/>
  <c r="AA279" i="1" s="1"/>
  <c r="AA280" i="1" s="1"/>
  <c r="AA281" i="1" s="1"/>
  <c r="AA282" i="1" s="1"/>
  <c r="AA283" i="1" s="1"/>
  <c r="AA284" i="1" s="1"/>
  <c r="AA285" i="1" s="1"/>
  <c r="AA286" i="1" s="1"/>
  <c r="AA287" i="1" s="1"/>
  <c r="AA288" i="1" s="1"/>
  <c r="AA289" i="1" s="1"/>
  <c r="AA290" i="1" s="1"/>
  <c r="AA291" i="1" s="1"/>
  <c r="AA292" i="1" s="1"/>
  <c r="AA293" i="1" s="1"/>
  <c r="AA294" i="1" s="1"/>
  <c r="AA295" i="1" s="1"/>
  <c r="AA296" i="1" s="1"/>
  <c r="AA297" i="1" s="1"/>
  <c r="AA298" i="1" s="1"/>
  <c r="AA299" i="1" s="1"/>
  <c r="AA300" i="1" s="1"/>
  <c r="AA301" i="1" s="1"/>
  <c r="AA302" i="1" s="1"/>
  <c r="AA303" i="1" s="1"/>
  <c r="AA304" i="1" s="1"/>
  <c r="AA305" i="1" s="1"/>
  <c r="AA306" i="1" s="1"/>
  <c r="AA307" i="1" s="1"/>
  <c r="AA308" i="1" s="1"/>
  <c r="AA309" i="1" s="1"/>
  <c r="AA310" i="1" s="1"/>
  <c r="AA311" i="1" s="1"/>
  <c r="AA312" i="1" s="1"/>
  <c r="AA313" i="1" s="1"/>
  <c r="AA314" i="1" s="1"/>
  <c r="AA55" i="1"/>
  <c r="AA56" i="1" s="1"/>
  <c r="AA57" i="1" s="1"/>
  <c r="AA58" i="1" s="1"/>
  <c r="AA59" i="1" s="1"/>
  <c r="AA60" i="1" s="1"/>
  <c r="AA61" i="1" s="1"/>
  <c r="AA62" i="1" s="1"/>
  <c r="AA63" i="1" s="1"/>
  <c r="AA64" i="1" s="1"/>
  <c r="AA65" i="1" s="1"/>
  <c r="AA66" i="1" s="1"/>
  <c r="AA67" i="1" s="1"/>
  <c r="AA68" i="1" s="1"/>
  <c r="AA69" i="1" s="1"/>
  <c r="AA70" i="1" s="1"/>
  <c r="AA71" i="1" s="1"/>
  <c r="AA72" i="1" s="1"/>
  <c r="AA73" i="1" s="1"/>
  <c r="AA74" i="1" s="1"/>
  <c r="AA75" i="1" s="1"/>
  <c r="AA76" i="1" s="1"/>
  <c r="AA77" i="1" s="1"/>
  <c r="AA78" i="1" s="1"/>
  <c r="AA79" i="1" s="1"/>
  <c r="AA80" i="1" s="1"/>
  <c r="AA81" i="1" s="1"/>
  <c r="AA82" i="1" s="1"/>
  <c r="AA83" i="1" s="1"/>
  <c r="AA84" i="1" s="1"/>
  <c r="AA85" i="1" s="1"/>
  <c r="AA86" i="1" s="1"/>
  <c r="AA87" i="1" s="1"/>
  <c r="AA88" i="1" s="1"/>
  <c r="AA89" i="1" s="1"/>
  <c r="AA90" i="1" s="1"/>
  <c r="AA91" i="1" s="1"/>
  <c r="AA92" i="1" s="1"/>
  <c r="AA93" i="1" s="1"/>
  <c r="AA94" i="1" s="1"/>
  <c r="AA95" i="1" s="1"/>
  <c r="AA96" i="1" s="1"/>
  <c r="AA97" i="1" s="1"/>
  <c r="AA98" i="1" s="1"/>
  <c r="AA99" i="1" s="1"/>
  <c r="AA100" i="1" s="1"/>
  <c r="AA101" i="1" s="1"/>
  <c r="AA102" i="1" s="1"/>
  <c r="AA103" i="1" s="1"/>
  <c r="AA104" i="1" s="1"/>
  <c r="AA105" i="1" s="1"/>
  <c r="AA106" i="1" s="1"/>
  <c r="Z55" i="1"/>
  <c r="AC55" i="1" s="1"/>
  <c r="AA159" i="1"/>
  <c r="AA160" i="1" s="1"/>
  <c r="AA161" i="1" s="1"/>
  <c r="AA162" i="1" s="1"/>
  <c r="AA163" i="1" s="1"/>
  <c r="AA164" i="1" s="1"/>
  <c r="AA165" i="1" s="1"/>
  <c r="AA166" i="1" s="1"/>
  <c r="AA167" i="1" s="1"/>
  <c r="AA168" i="1" s="1"/>
  <c r="AA169" i="1" s="1"/>
  <c r="AA170" i="1" s="1"/>
  <c r="AA171" i="1" s="1"/>
  <c r="AA172" i="1" s="1"/>
  <c r="AA173" i="1" s="1"/>
  <c r="AA174" i="1" s="1"/>
  <c r="AA175" i="1" s="1"/>
  <c r="AA176" i="1" s="1"/>
  <c r="AA177" i="1" s="1"/>
  <c r="AA178" i="1" s="1"/>
  <c r="AA179" i="1" s="1"/>
  <c r="AA180" i="1" s="1"/>
  <c r="AA181" i="1" s="1"/>
  <c r="AA182" i="1" s="1"/>
  <c r="AA183" i="1" s="1"/>
  <c r="AA184" i="1" s="1"/>
  <c r="AA185" i="1" s="1"/>
  <c r="AA186" i="1" s="1"/>
  <c r="AA187" i="1" s="1"/>
  <c r="AA188" i="1" s="1"/>
  <c r="AA189" i="1" s="1"/>
  <c r="AA190" i="1" s="1"/>
  <c r="AA191" i="1" s="1"/>
  <c r="AA192" i="1" s="1"/>
  <c r="AA193" i="1" s="1"/>
  <c r="AA194" i="1" s="1"/>
  <c r="AA195" i="1" s="1"/>
  <c r="AA196" i="1" s="1"/>
  <c r="AA197" i="1" s="1"/>
  <c r="AA198" i="1" s="1"/>
  <c r="AA199" i="1" s="1"/>
  <c r="AA200" i="1" s="1"/>
  <c r="AA201" i="1" s="1"/>
  <c r="AA202" i="1" s="1"/>
  <c r="AA203" i="1" s="1"/>
  <c r="AA204" i="1" s="1"/>
  <c r="AA205" i="1" s="1"/>
  <c r="AA206" i="1" s="1"/>
  <c r="AA207" i="1" s="1"/>
  <c r="AA208" i="1" s="1"/>
  <c r="AA209" i="1" s="1"/>
  <c r="AA210" i="1" s="1"/>
  <c r="Z181" i="1"/>
  <c r="Z176" i="1"/>
  <c r="Z173" i="1"/>
  <c r="Z168" i="1"/>
  <c r="Z165" i="1"/>
  <c r="Z160" i="1"/>
  <c r="Z157" i="1"/>
  <c r="Z152" i="1"/>
  <c r="Z149" i="1"/>
  <c r="Z144" i="1"/>
  <c r="Z141" i="1"/>
  <c r="Z136" i="1"/>
  <c r="Z133" i="1"/>
  <c r="Z128" i="1"/>
  <c r="Z125" i="1"/>
  <c r="Z120" i="1"/>
  <c r="Z117" i="1"/>
  <c r="Z112" i="1"/>
  <c r="Z109" i="1"/>
  <c r="Z104" i="1"/>
  <c r="Z101" i="1"/>
  <c r="Z96" i="1"/>
  <c r="Z93" i="1"/>
  <c r="Z88" i="1"/>
  <c r="Z85" i="1"/>
  <c r="Z80" i="1"/>
  <c r="Z77" i="1"/>
  <c r="Z72" i="1"/>
  <c r="Z69" i="1"/>
  <c r="Z64" i="1"/>
  <c r="Z61" i="1"/>
  <c r="Z56" i="1"/>
  <c r="Z53" i="1"/>
  <c r="Z48" i="1"/>
  <c r="Z45" i="1"/>
  <c r="Z40" i="1"/>
  <c r="Z37" i="1"/>
  <c r="Z32" i="1"/>
  <c r="Z29" i="1"/>
  <c r="Z24" i="1"/>
  <c r="Z21" i="1"/>
  <c r="Z16" i="1"/>
  <c r="Z13" i="1"/>
  <c r="Z8" i="1"/>
  <c r="Z5" i="1"/>
  <c r="AD2" i="2"/>
  <c r="AE263" i="2"/>
  <c r="AH263" i="2" s="1"/>
  <c r="AE264" i="2"/>
  <c r="AE265" i="2"/>
  <c r="AE266" i="2"/>
  <c r="AE267" i="2"/>
  <c r="AE268" i="2"/>
  <c r="AE269" i="2"/>
  <c r="AE270" i="2"/>
  <c r="AE271" i="2"/>
  <c r="AE272" i="2"/>
  <c r="AE273" i="2"/>
  <c r="AE274" i="2"/>
  <c r="AE275" i="2"/>
  <c r="AE276" i="2"/>
  <c r="AE277" i="2"/>
  <c r="AE278" i="2"/>
  <c r="AE279" i="2"/>
  <c r="AE280" i="2"/>
  <c r="AE281" i="2"/>
  <c r="AE282" i="2"/>
  <c r="AE283" i="2"/>
  <c r="AE284" i="2"/>
  <c r="AE285" i="2"/>
  <c r="AE286" i="2"/>
  <c r="AE287" i="2"/>
  <c r="AE288" i="2"/>
  <c r="AE289" i="2"/>
  <c r="AE290" i="2"/>
  <c r="AE291" i="2"/>
  <c r="AE292" i="2"/>
  <c r="AE293" i="2"/>
  <c r="AE294" i="2"/>
  <c r="AE295" i="2"/>
  <c r="AE296" i="2"/>
  <c r="AE297" i="2"/>
  <c r="AE298" i="2"/>
  <c r="AE299" i="2"/>
  <c r="AE300" i="2"/>
  <c r="AE301" i="2"/>
  <c r="AE302" i="2"/>
  <c r="AE303" i="2"/>
  <c r="AE304" i="2"/>
  <c r="AE305" i="2"/>
  <c r="AE306" i="2"/>
  <c r="AE307" i="2"/>
  <c r="AE308" i="2"/>
  <c r="AE309" i="2"/>
  <c r="AE310" i="2"/>
  <c r="AE311" i="2"/>
  <c r="AE312" i="2"/>
  <c r="AD263" i="2"/>
  <c r="AG263" i="2" s="1"/>
  <c r="AD264" i="2"/>
  <c r="AD265" i="2"/>
  <c r="AD266" i="2"/>
  <c r="AD267" i="2"/>
  <c r="AD268" i="2"/>
  <c r="AD269" i="2"/>
  <c r="AD270" i="2"/>
  <c r="AD271" i="2"/>
  <c r="AD272" i="2"/>
  <c r="AD273" i="2"/>
  <c r="AD274" i="2"/>
  <c r="AD275" i="2"/>
  <c r="AD276" i="2"/>
  <c r="AD277" i="2"/>
  <c r="AD278" i="2"/>
  <c r="AD279" i="2"/>
  <c r="AD280" i="2"/>
  <c r="AD281" i="2"/>
  <c r="AD282" i="2"/>
  <c r="AD283" i="2"/>
  <c r="AD284" i="2"/>
  <c r="AD285" i="2"/>
  <c r="AD286" i="2"/>
  <c r="AD287" i="2"/>
  <c r="AD288" i="2"/>
  <c r="AD289" i="2"/>
  <c r="AD290" i="2"/>
  <c r="AD291" i="2"/>
  <c r="AD292" i="2"/>
  <c r="AD293" i="2"/>
  <c r="AD294" i="2"/>
  <c r="AD295" i="2"/>
  <c r="AD296" i="2"/>
  <c r="AD297" i="2"/>
  <c r="AD298" i="2"/>
  <c r="AD299" i="2"/>
  <c r="AD300" i="2"/>
  <c r="AD301" i="2"/>
  <c r="AD302" i="2"/>
  <c r="AD303" i="2"/>
  <c r="AD304" i="2"/>
  <c r="AD305" i="2"/>
  <c r="AD306" i="2"/>
  <c r="AD307" i="2"/>
  <c r="AD308" i="2"/>
  <c r="AD309" i="2"/>
  <c r="AD310" i="2"/>
  <c r="AD311" i="2"/>
  <c r="AD312" i="2"/>
  <c r="AC3" i="1" l="1"/>
  <c r="AF280" i="2"/>
  <c r="AF276" i="2"/>
  <c r="AF272" i="2"/>
  <c r="AF264" i="2"/>
  <c r="AH264" i="2"/>
  <c r="AH265" i="2" s="1"/>
  <c r="AH266" i="2" s="1"/>
  <c r="AH267" i="2" s="1"/>
  <c r="AF311" i="2"/>
  <c r="AF307" i="2"/>
  <c r="AF303" i="2"/>
  <c r="AF299" i="2"/>
  <c r="AF295" i="2"/>
  <c r="AF283" i="2"/>
  <c r="AF309" i="2"/>
  <c r="AF297" i="2"/>
  <c r="AF293" i="2"/>
  <c r="AF277" i="2"/>
  <c r="AF265" i="2"/>
  <c r="AF279" i="2"/>
  <c r="AG264" i="2"/>
  <c r="AG265" i="2" s="1"/>
  <c r="AG266" i="2" s="1"/>
  <c r="AF302" i="2"/>
  <c r="AF286" i="2"/>
  <c r="AF267" i="2"/>
  <c r="AF306" i="2"/>
  <c r="AF298" i="2"/>
  <c r="AF282" i="2"/>
  <c r="AF270" i="2"/>
  <c r="AF266" i="2"/>
  <c r="AF312" i="2"/>
  <c r="AF308" i="2"/>
  <c r="AF304" i="2"/>
  <c r="AF300" i="2"/>
  <c r="AF296" i="2"/>
  <c r="AF292" i="2"/>
  <c r="AF284" i="2"/>
  <c r="AG267" i="2"/>
  <c r="AG268" i="2" s="1"/>
  <c r="AG269" i="2" s="1"/>
  <c r="AG270" i="2" s="1"/>
  <c r="AG271" i="2" s="1"/>
  <c r="AG272" i="2" s="1"/>
  <c r="AG273" i="2" s="1"/>
  <c r="AG274" i="2" s="1"/>
  <c r="AG275" i="2" s="1"/>
  <c r="AG276" i="2" s="1"/>
  <c r="AG277" i="2" s="1"/>
  <c r="AG278" i="2" s="1"/>
  <c r="AG279" i="2" s="1"/>
  <c r="AG280" i="2" s="1"/>
  <c r="AG281" i="2" s="1"/>
  <c r="AG282" i="2" s="1"/>
  <c r="AG283" i="2" s="1"/>
  <c r="AG284" i="2" s="1"/>
  <c r="AG285" i="2" s="1"/>
  <c r="AG286" i="2" s="1"/>
  <c r="AG287" i="2" s="1"/>
  <c r="AG288" i="2" s="1"/>
  <c r="AG289" i="2" s="1"/>
  <c r="AG290" i="2" s="1"/>
  <c r="AG291" i="2" s="1"/>
  <c r="AG292" i="2" s="1"/>
  <c r="AG293" i="2" s="1"/>
  <c r="AG294" i="2" s="1"/>
  <c r="AG295" i="2" s="1"/>
  <c r="AG296" i="2" s="1"/>
  <c r="AG297" i="2" s="1"/>
  <c r="AG298" i="2" s="1"/>
  <c r="AG299" i="2" s="1"/>
  <c r="AG300" i="2" s="1"/>
  <c r="AG301" i="2" s="1"/>
  <c r="AG302" i="2" s="1"/>
  <c r="AG303" i="2" s="1"/>
  <c r="AG304" i="2" s="1"/>
  <c r="AG305" i="2" s="1"/>
  <c r="AG306" i="2" s="1"/>
  <c r="AG307" i="2" s="1"/>
  <c r="AG308" i="2" s="1"/>
  <c r="AG309" i="2" s="1"/>
  <c r="AG310" i="2" s="1"/>
  <c r="AG311" i="2" s="1"/>
  <c r="AG312" i="2" s="1"/>
  <c r="AG313" i="2" s="1"/>
  <c r="AG314" i="2" s="1"/>
  <c r="AF268" i="2"/>
  <c r="AF281" i="2"/>
  <c r="AC108" i="1"/>
  <c r="AC109" i="1" s="1"/>
  <c r="AC110" i="1" s="1"/>
  <c r="AC111" i="1" s="1"/>
  <c r="AC112" i="1" s="1"/>
  <c r="AC113" i="1" s="1"/>
  <c r="AC114" i="1" s="1"/>
  <c r="AC115" i="1" s="1"/>
  <c r="AC116" i="1" s="1"/>
  <c r="AC117" i="1" s="1"/>
  <c r="AC118" i="1" s="1"/>
  <c r="AC119" i="1" s="1"/>
  <c r="AC120" i="1" s="1"/>
  <c r="AC121" i="1" s="1"/>
  <c r="AC122" i="1" s="1"/>
  <c r="AC123" i="1" s="1"/>
  <c r="AC124" i="1" s="1"/>
  <c r="AC125" i="1" s="1"/>
  <c r="AC126" i="1" s="1"/>
  <c r="AC127" i="1" s="1"/>
  <c r="AC128" i="1" s="1"/>
  <c r="AC129" i="1" s="1"/>
  <c r="AC130" i="1" s="1"/>
  <c r="AC131" i="1" s="1"/>
  <c r="AC132" i="1" s="1"/>
  <c r="AC133" i="1" s="1"/>
  <c r="AC134" i="1" s="1"/>
  <c r="AC135" i="1" s="1"/>
  <c r="AC136" i="1" s="1"/>
  <c r="AC137" i="1" s="1"/>
  <c r="AC138" i="1" s="1"/>
  <c r="AC139" i="1" s="1"/>
  <c r="AC140" i="1" s="1"/>
  <c r="AC141" i="1" s="1"/>
  <c r="AC142" i="1" s="1"/>
  <c r="AC143" i="1" s="1"/>
  <c r="AC144" i="1" s="1"/>
  <c r="AC145" i="1" s="1"/>
  <c r="AC146" i="1" s="1"/>
  <c r="AC147" i="1" s="1"/>
  <c r="AC148" i="1" s="1"/>
  <c r="AC149" i="1" s="1"/>
  <c r="AC150" i="1" s="1"/>
  <c r="AC151" i="1" s="1"/>
  <c r="AC152" i="1" s="1"/>
  <c r="AC153" i="1" s="1"/>
  <c r="AC154" i="1" s="1"/>
  <c r="AC155" i="1" s="1"/>
  <c r="AC156" i="1" s="1"/>
  <c r="AC157" i="1" s="1"/>
  <c r="AC158" i="1" s="1"/>
  <c r="AA212" i="1"/>
  <c r="AC264" i="1"/>
  <c r="AC265" i="1" s="1"/>
  <c r="AC266" i="1" s="1"/>
  <c r="AC267" i="1" s="1"/>
  <c r="AC268" i="1" s="1"/>
  <c r="AC269" i="1" s="1"/>
  <c r="AC270" i="1" s="1"/>
  <c r="AC271" i="1" s="1"/>
  <c r="AC272" i="1" s="1"/>
  <c r="AC273" i="1" s="1"/>
  <c r="AC274" i="1" s="1"/>
  <c r="AC275" i="1" s="1"/>
  <c r="AC276" i="1" s="1"/>
  <c r="AC277" i="1" s="1"/>
  <c r="AC278" i="1" s="1"/>
  <c r="AC279" i="1" s="1"/>
  <c r="AC280" i="1" s="1"/>
  <c r="AC281" i="1" s="1"/>
  <c r="AC282" i="1" s="1"/>
  <c r="AC283" i="1" s="1"/>
  <c r="AC284" i="1" s="1"/>
  <c r="AC285" i="1" s="1"/>
  <c r="AC286" i="1" s="1"/>
  <c r="AC287" i="1" s="1"/>
  <c r="AC288" i="1" s="1"/>
  <c r="AC289" i="1" s="1"/>
  <c r="AC290" i="1" s="1"/>
  <c r="AC291" i="1" s="1"/>
  <c r="AC292" i="1" s="1"/>
  <c r="AC293" i="1" s="1"/>
  <c r="AC294" i="1" s="1"/>
  <c r="AC295" i="1" s="1"/>
  <c r="AC296" i="1" s="1"/>
  <c r="AC297" i="1" s="1"/>
  <c r="AC298" i="1" s="1"/>
  <c r="AC299" i="1" s="1"/>
  <c r="AC300" i="1" s="1"/>
  <c r="AC301" i="1" s="1"/>
  <c r="AC302" i="1" s="1"/>
  <c r="AC303" i="1" s="1"/>
  <c r="AC304" i="1" s="1"/>
  <c r="AC305" i="1" s="1"/>
  <c r="AC306" i="1" s="1"/>
  <c r="AC307" i="1" s="1"/>
  <c r="AC308" i="1" s="1"/>
  <c r="AC309" i="1" s="1"/>
  <c r="AC310" i="1" s="1"/>
  <c r="AC311" i="1" s="1"/>
  <c r="AC312" i="1" s="1"/>
  <c r="AC313" i="1" s="1"/>
  <c r="AC314" i="1" s="1"/>
  <c r="AC211" i="1"/>
  <c r="AB212" i="1"/>
  <c r="AC4" i="1"/>
  <c r="AC5" i="1" s="1"/>
  <c r="AC6" i="1" s="1"/>
  <c r="AC7" i="1" s="1"/>
  <c r="AC8" i="1" s="1"/>
  <c r="AC9" i="1" s="1"/>
  <c r="AC10" i="1" s="1"/>
  <c r="AC11" i="1" s="1"/>
  <c r="AC12" i="1" s="1"/>
  <c r="AC13" i="1" s="1"/>
  <c r="AC14" i="1" s="1"/>
  <c r="AC15" i="1" s="1"/>
  <c r="AC16" i="1" s="1"/>
  <c r="AC17" i="1" s="1"/>
  <c r="AC18" i="1" s="1"/>
  <c r="AC19" i="1" s="1"/>
  <c r="AC20" i="1" s="1"/>
  <c r="AC21" i="1" s="1"/>
  <c r="AC22" i="1" s="1"/>
  <c r="AC23" i="1" s="1"/>
  <c r="AC24" i="1" s="1"/>
  <c r="AC25" i="1" s="1"/>
  <c r="AC26" i="1" s="1"/>
  <c r="AC27" i="1" s="1"/>
  <c r="AC28" i="1" s="1"/>
  <c r="AC29" i="1" s="1"/>
  <c r="AC30" i="1" s="1"/>
  <c r="AC31" i="1" s="1"/>
  <c r="AC32" i="1" s="1"/>
  <c r="AC33" i="1" s="1"/>
  <c r="AC34" i="1" s="1"/>
  <c r="AC35" i="1" s="1"/>
  <c r="AC36" i="1" s="1"/>
  <c r="AC37" i="1" s="1"/>
  <c r="AC38" i="1" s="1"/>
  <c r="AC39" i="1" s="1"/>
  <c r="AC40" i="1" s="1"/>
  <c r="AC41" i="1" s="1"/>
  <c r="AC42" i="1" s="1"/>
  <c r="AC43" i="1" s="1"/>
  <c r="AC44" i="1" s="1"/>
  <c r="AC45" i="1" s="1"/>
  <c r="AC46" i="1" s="1"/>
  <c r="AC47" i="1" s="1"/>
  <c r="AC48" i="1" s="1"/>
  <c r="AC49" i="1" s="1"/>
  <c r="AC50" i="1" s="1"/>
  <c r="AC51" i="1" s="1"/>
  <c r="AC52" i="1" s="1"/>
  <c r="AC53" i="1" s="1"/>
  <c r="AC54" i="1" s="1"/>
  <c r="AC56" i="1"/>
  <c r="AC57" i="1" s="1"/>
  <c r="AC58" i="1" s="1"/>
  <c r="AC59" i="1" s="1"/>
  <c r="AC60" i="1" s="1"/>
  <c r="AC61" i="1" s="1"/>
  <c r="AC62" i="1" s="1"/>
  <c r="AC63" i="1" s="1"/>
  <c r="AC64" i="1" s="1"/>
  <c r="AC65" i="1" s="1"/>
  <c r="AC66" i="1" s="1"/>
  <c r="AC67" i="1" s="1"/>
  <c r="AC68" i="1" s="1"/>
  <c r="AC69" i="1" s="1"/>
  <c r="AC70" i="1" s="1"/>
  <c r="AC71" i="1" s="1"/>
  <c r="AC72" i="1" s="1"/>
  <c r="AC73" i="1" s="1"/>
  <c r="AC74" i="1" s="1"/>
  <c r="AC75" i="1" s="1"/>
  <c r="AC76" i="1" s="1"/>
  <c r="AC77" i="1" s="1"/>
  <c r="AC78" i="1" s="1"/>
  <c r="AC79" i="1" s="1"/>
  <c r="AC80" i="1" s="1"/>
  <c r="AC81" i="1" s="1"/>
  <c r="AC82" i="1" s="1"/>
  <c r="AC83" i="1" s="1"/>
  <c r="AC84" i="1" s="1"/>
  <c r="AC85" i="1" s="1"/>
  <c r="AC86" i="1" s="1"/>
  <c r="AC87" i="1" s="1"/>
  <c r="AC88" i="1" s="1"/>
  <c r="AC89" i="1" s="1"/>
  <c r="AC90" i="1" s="1"/>
  <c r="AC91" i="1" s="1"/>
  <c r="AC92" i="1" s="1"/>
  <c r="AC93" i="1" s="1"/>
  <c r="AC94" i="1" s="1"/>
  <c r="AC95" i="1" s="1"/>
  <c r="AC96" i="1" s="1"/>
  <c r="AC97" i="1" s="1"/>
  <c r="AC98" i="1" s="1"/>
  <c r="AC99" i="1" s="1"/>
  <c r="AC100" i="1" s="1"/>
  <c r="AC101" i="1" s="1"/>
  <c r="AC102" i="1" s="1"/>
  <c r="AC103" i="1" s="1"/>
  <c r="AC104" i="1" s="1"/>
  <c r="AC105" i="1" s="1"/>
  <c r="AC106" i="1" s="1"/>
  <c r="AC160" i="1"/>
  <c r="AC161" i="1" s="1"/>
  <c r="AC162" i="1" s="1"/>
  <c r="AC163" i="1" s="1"/>
  <c r="AC164" i="1" s="1"/>
  <c r="AC165" i="1" s="1"/>
  <c r="AC166" i="1" s="1"/>
  <c r="AC167" i="1" s="1"/>
  <c r="AC168" i="1" s="1"/>
  <c r="AC169" i="1" s="1"/>
  <c r="AC170" i="1" s="1"/>
  <c r="AC171" i="1" s="1"/>
  <c r="AC172" i="1" s="1"/>
  <c r="AC173" i="1" s="1"/>
  <c r="AC174" i="1" s="1"/>
  <c r="AC175" i="1" s="1"/>
  <c r="AC176" i="1" s="1"/>
  <c r="AC177" i="1" s="1"/>
  <c r="AC178" i="1" s="1"/>
  <c r="AC179" i="1" s="1"/>
  <c r="AC180" i="1" s="1"/>
  <c r="AC181" i="1" s="1"/>
  <c r="AC182" i="1" s="1"/>
  <c r="AC183" i="1" s="1"/>
  <c r="AC184" i="1" s="1"/>
  <c r="AC185" i="1" s="1"/>
  <c r="AC186" i="1" s="1"/>
  <c r="AC187" i="1" s="1"/>
  <c r="AC188" i="1" s="1"/>
  <c r="AC189" i="1" s="1"/>
  <c r="AC190" i="1" s="1"/>
  <c r="AC191" i="1" s="1"/>
  <c r="AC192" i="1" s="1"/>
  <c r="AC193" i="1" s="1"/>
  <c r="AC194" i="1" s="1"/>
  <c r="AC195" i="1" s="1"/>
  <c r="AC196" i="1" s="1"/>
  <c r="AC197" i="1" s="1"/>
  <c r="AC198" i="1" s="1"/>
  <c r="AC199" i="1" s="1"/>
  <c r="AC200" i="1" s="1"/>
  <c r="AC201" i="1" s="1"/>
  <c r="AC202" i="1" s="1"/>
  <c r="AC203" i="1" s="1"/>
  <c r="AC204" i="1" s="1"/>
  <c r="AC205" i="1" s="1"/>
  <c r="AC206" i="1" s="1"/>
  <c r="AC207" i="1" s="1"/>
  <c r="AC208" i="1" s="1"/>
  <c r="AC209" i="1" s="1"/>
  <c r="AC210" i="1" s="1"/>
  <c r="AF288" i="2"/>
  <c r="AF291" i="2"/>
  <c r="AF287" i="2"/>
  <c r="AF275" i="2"/>
  <c r="AF271" i="2"/>
  <c r="AH268" i="2"/>
  <c r="AH269" i="2" s="1"/>
  <c r="AH270" i="2" s="1"/>
  <c r="AH271" i="2" s="1"/>
  <c r="AH272" i="2" s="1"/>
  <c r="AH273" i="2" s="1"/>
  <c r="AH274" i="2" s="1"/>
  <c r="AH275" i="2" s="1"/>
  <c r="AH276" i="2" s="1"/>
  <c r="AH277" i="2" s="1"/>
  <c r="AH278" i="2" s="1"/>
  <c r="AH279" i="2" s="1"/>
  <c r="AH280" i="2" s="1"/>
  <c r="AH281" i="2" s="1"/>
  <c r="AH282" i="2" s="1"/>
  <c r="AH283" i="2" s="1"/>
  <c r="AH284" i="2" s="1"/>
  <c r="AH285" i="2" s="1"/>
  <c r="AH286" i="2" s="1"/>
  <c r="AH287" i="2" s="1"/>
  <c r="AH288" i="2" s="1"/>
  <c r="AH289" i="2" s="1"/>
  <c r="AH290" i="2" s="1"/>
  <c r="AH291" i="2" s="1"/>
  <c r="AH292" i="2" s="1"/>
  <c r="AH293" i="2" s="1"/>
  <c r="AH294" i="2" s="1"/>
  <c r="AH295" i="2" s="1"/>
  <c r="AH296" i="2" s="1"/>
  <c r="AH297" i="2" s="1"/>
  <c r="AH298" i="2" s="1"/>
  <c r="AH299" i="2" s="1"/>
  <c r="AH300" i="2" s="1"/>
  <c r="AH301" i="2" s="1"/>
  <c r="AH302" i="2" s="1"/>
  <c r="AH303" i="2" s="1"/>
  <c r="AH304" i="2" s="1"/>
  <c r="AH305" i="2" s="1"/>
  <c r="AH306" i="2" s="1"/>
  <c r="AH307" i="2" s="1"/>
  <c r="AH308" i="2" s="1"/>
  <c r="AH309" i="2" s="1"/>
  <c r="AH310" i="2" s="1"/>
  <c r="AH311" i="2" s="1"/>
  <c r="AH312" i="2" s="1"/>
  <c r="AH313" i="2" s="1"/>
  <c r="AH314" i="2" s="1"/>
  <c r="AF310" i="2"/>
  <c r="AF294" i="2"/>
  <c r="AF290" i="2"/>
  <c r="AF278" i="2"/>
  <c r="AF274" i="2"/>
  <c r="AF273" i="2"/>
  <c r="AF305" i="2"/>
  <c r="AF289" i="2"/>
  <c r="AF301" i="2"/>
  <c r="AF285" i="2"/>
  <c r="AF269" i="2"/>
  <c r="AF263" i="2"/>
  <c r="AI263" i="2" s="1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H55" i="2" s="1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E98" i="2"/>
  <c r="AE99" i="2"/>
  <c r="AE100" i="2"/>
  <c r="AE101" i="2"/>
  <c r="AE102" i="2"/>
  <c r="AE103" i="2"/>
  <c r="AE104" i="2"/>
  <c r="AE105" i="2"/>
  <c r="AE106" i="2"/>
  <c r="AE107" i="2"/>
  <c r="AH107" i="2" s="1"/>
  <c r="AH108" i="2" s="1"/>
  <c r="AE108" i="2"/>
  <c r="AE109" i="2"/>
  <c r="AE110" i="2"/>
  <c r="AE111" i="2"/>
  <c r="AE112" i="2"/>
  <c r="AE113" i="2"/>
  <c r="AE114" i="2"/>
  <c r="AE115" i="2"/>
  <c r="AE116" i="2"/>
  <c r="AE117" i="2"/>
  <c r="AE118" i="2"/>
  <c r="AE119" i="2"/>
  <c r="AE120" i="2"/>
  <c r="AE121" i="2"/>
  <c r="AE122" i="2"/>
  <c r="AE123" i="2"/>
  <c r="AE124" i="2"/>
  <c r="AE125" i="2"/>
  <c r="AE126" i="2"/>
  <c r="AE127" i="2"/>
  <c r="AE128" i="2"/>
  <c r="AE129" i="2"/>
  <c r="AE130" i="2"/>
  <c r="AE131" i="2"/>
  <c r="AE132" i="2"/>
  <c r="AE133" i="2"/>
  <c r="AE134" i="2"/>
  <c r="AE135" i="2"/>
  <c r="AE136" i="2"/>
  <c r="AE137" i="2"/>
  <c r="AE138" i="2"/>
  <c r="AE139" i="2"/>
  <c r="AE140" i="2"/>
  <c r="AE141" i="2"/>
  <c r="AE142" i="2"/>
  <c r="AE143" i="2"/>
  <c r="AE144" i="2"/>
  <c r="AE145" i="2"/>
  <c r="AE146" i="2"/>
  <c r="AE147" i="2"/>
  <c r="AE148" i="2"/>
  <c r="AE149" i="2"/>
  <c r="AE150" i="2"/>
  <c r="AE151" i="2"/>
  <c r="AE152" i="2"/>
  <c r="AE153" i="2"/>
  <c r="AE154" i="2"/>
  <c r="AE155" i="2"/>
  <c r="AE156" i="2"/>
  <c r="AE157" i="2"/>
  <c r="AE158" i="2"/>
  <c r="AE159" i="2"/>
  <c r="AH159" i="2" s="1"/>
  <c r="AH160" i="2" s="1"/>
  <c r="AE160" i="2"/>
  <c r="AE161" i="2"/>
  <c r="AE162" i="2"/>
  <c r="AE163" i="2"/>
  <c r="AE164" i="2"/>
  <c r="AE165" i="2"/>
  <c r="AE166" i="2"/>
  <c r="AE167" i="2"/>
  <c r="AE168" i="2"/>
  <c r="AE169" i="2"/>
  <c r="AE170" i="2"/>
  <c r="AE171" i="2"/>
  <c r="AE172" i="2"/>
  <c r="AE173" i="2"/>
  <c r="AE174" i="2"/>
  <c r="AE175" i="2"/>
  <c r="AE176" i="2"/>
  <c r="AE177" i="2"/>
  <c r="AE178" i="2"/>
  <c r="AE179" i="2"/>
  <c r="AE180" i="2"/>
  <c r="AE181" i="2"/>
  <c r="AE182" i="2"/>
  <c r="AE183" i="2"/>
  <c r="AE184" i="2"/>
  <c r="AE185" i="2"/>
  <c r="AE186" i="2"/>
  <c r="AE187" i="2"/>
  <c r="AE188" i="2"/>
  <c r="AE189" i="2"/>
  <c r="AE190" i="2"/>
  <c r="AE191" i="2"/>
  <c r="AE192" i="2"/>
  <c r="AE193" i="2"/>
  <c r="AE194" i="2"/>
  <c r="AE195" i="2"/>
  <c r="AE196" i="2"/>
  <c r="AE197" i="2"/>
  <c r="AE198" i="2"/>
  <c r="AE199" i="2"/>
  <c r="AE200" i="2"/>
  <c r="AE201" i="2"/>
  <c r="AE202" i="2"/>
  <c r="AE203" i="2"/>
  <c r="AE204" i="2"/>
  <c r="AE205" i="2"/>
  <c r="AE206" i="2"/>
  <c r="AE207" i="2"/>
  <c r="AE208" i="2"/>
  <c r="AE209" i="2"/>
  <c r="AE210" i="2"/>
  <c r="AE211" i="2"/>
  <c r="AE212" i="2"/>
  <c r="AE213" i="2"/>
  <c r="AE214" i="2"/>
  <c r="AE215" i="2"/>
  <c r="AE216" i="2"/>
  <c r="AE217" i="2"/>
  <c r="AE218" i="2"/>
  <c r="AE219" i="2"/>
  <c r="AE220" i="2"/>
  <c r="AE221" i="2"/>
  <c r="AE222" i="2"/>
  <c r="AE223" i="2"/>
  <c r="AE224" i="2"/>
  <c r="AE225" i="2"/>
  <c r="AE226" i="2"/>
  <c r="AE227" i="2"/>
  <c r="AE228" i="2"/>
  <c r="AE229" i="2"/>
  <c r="AE230" i="2"/>
  <c r="AE231" i="2"/>
  <c r="AE232" i="2"/>
  <c r="AE233" i="2"/>
  <c r="AE234" i="2"/>
  <c r="AE235" i="2"/>
  <c r="AE236" i="2"/>
  <c r="AE237" i="2"/>
  <c r="AE238" i="2"/>
  <c r="AE239" i="2"/>
  <c r="AE240" i="2"/>
  <c r="AE241" i="2"/>
  <c r="AE242" i="2"/>
  <c r="AE243" i="2"/>
  <c r="AE244" i="2"/>
  <c r="AE245" i="2"/>
  <c r="AE246" i="2"/>
  <c r="AE247" i="2"/>
  <c r="AE248" i="2"/>
  <c r="AE249" i="2"/>
  <c r="AE250" i="2"/>
  <c r="AE251" i="2"/>
  <c r="AE252" i="2"/>
  <c r="AE253" i="2"/>
  <c r="AE254" i="2"/>
  <c r="AE255" i="2"/>
  <c r="AE256" i="2"/>
  <c r="AE257" i="2"/>
  <c r="AE258" i="2"/>
  <c r="AE259" i="2"/>
  <c r="AE260" i="2"/>
  <c r="AE261" i="2"/>
  <c r="AE262" i="2"/>
  <c r="AE2" i="2"/>
  <c r="AH2" i="2" s="1"/>
  <c r="AH3" i="2" s="1"/>
  <c r="AH4" i="2" s="1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F48" i="2" s="1"/>
  <c r="AD49" i="2"/>
  <c r="AD50" i="2"/>
  <c r="AD51" i="2"/>
  <c r="AD52" i="2"/>
  <c r="AF52" i="2" s="1"/>
  <c r="AD53" i="2"/>
  <c r="AD54" i="2"/>
  <c r="AD55" i="2"/>
  <c r="AG55" i="2" s="1"/>
  <c r="AD56" i="2"/>
  <c r="AF56" i="2" s="1"/>
  <c r="AD57" i="2"/>
  <c r="AD58" i="2"/>
  <c r="AD59" i="2"/>
  <c r="AD60" i="2"/>
  <c r="AF60" i="2" s="1"/>
  <c r="AD61" i="2"/>
  <c r="AD62" i="2"/>
  <c r="AD63" i="2"/>
  <c r="AD64" i="2"/>
  <c r="AF64" i="2" s="1"/>
  <c r="AD65" i="2"/>
  <c r="AD66" i="2"/>
  <c r="AD67" i="2"/>
  <c r="AD68" i="2"/>
  <c r="AF68" i="2" s="1"/>
  <c r="AD69" i="2"/>
  <c r="AD70" i="2"/>
  <c r="AD71" i="2"/>
  <c r="AD72" i="2"/>
  <c r="AF72" i="2" s="1"/>
  <c r="AD73" i="2"/>
  <c r="AD74" i="2"/>
  <c r="AD75" i="2"/>
  <c r="AD76" i="2"/>
  <c r="AF76" i="2" s="1"/>
  <c r="AD77" i="2"/>
  <c r="AD78" i="2"/>
  <c r="AD79" i="2"/>
  <c r="AD80" i="2"/>
  <c r="AF80" i="2" s="1"/>
  <c r="AD81" i="2"/>
  <c r="AD82" i="2"/>
  <c r="AD83" i="2"/>
  <c r="AD84" i="2"/>
  <c r="AF84" i="2" s="1"/>
  <c r="AD85" i="2"/>
  <c r="AD86" i="2"/>
  <c r="AD87" i="2"/>
  <c r="AD88" i="2"/>
  <c r="AF88" i="2" s="1"/>
  <c r="AD89" i="2"/>
  <c r="AD90" i="2"/>
  <c r="AD91" i="2"/>
  <c r="AD92" i="2"/>
  <c r="AF92" i="2" s="1"/>
  <c r="AD93" i="2"/>
  <c r="AD94" i="2"/>
  <c r="AD95" i="2"/>
  <c r="AD96" i="2"/>
  <c r="AF96" i="2" s="1"/>
  <c r="AD97" i="2"/>
  <c r="AD98" i="2"/>
  <c r="AD99" i="2"/>
  <c r="AD100" i="2"/>
  <c r="AF100" i="2" s="1"/>
  <c r="AD101" i="2"/>
  <c r="AD102" i="2"/>
  <c r="AD103" i="2"/>
  <c r="AD104" i="2"/>
  <c r="AF104" i="2" s="1"/>
  <c r="AD105" i="2"/>
  <c r="AD106" i="2"/>
  <c r="AD107" i="2"/>
  <c r="AG107" i="2" s="1"/>
  <c r="AD108" i="2"/>
  <c r="AF108" i="2" s="1"/>
  <c r="AD109" i="2"/>
  <c r="AD110" i="2"/>
  <c r="AD111" i="2"/>
  <c r="AD112" i="2"/>
  <c r="AF112" i="2" s="1"/>
  <c r="AD113" i="2"/>
  <c r="AD114" i="2"/>
  <c r="AD115" i="2"/>
  <c r="AD116" i="2"/>
  <c r="AF116" i="2" s="1"/>
  <c r="AD117" i="2"/>
  <c r="AD118" i="2"/>
  <c r="AD119" i="2"/>
  <c r="AD120" i="2"/>
  <c r="AF120" i="2" s="1"/>
  <c r="AD121" i="2"/>
  <c r="AD122" i="2"/>
  <c r="AD123" i="2"/>
  <c r="AD124" i="2"/>
  <c r="AF124" i="2" s="1"/>
  <c r="AD125" i="2"/>
  <c r="AD126" i="2"/>
  <c r="AD127" i="2"/>
  <c r="AD128" i="2"/>
  <c r="AF128" i="2" s="1"/>
  <c r="AD129" i="2"/>
  <c r="AD130" i="2"/>
  <c r="AD131" i="2"/>
  <c r="AD132" i="2"/>
  <c r="AF132" i="2" s="1"/>
  <c r="AD133" i="2"/>
  <c r="AD134" i="2"/>
  <c r="AD135" i="2"/>
  <c r="AD136" i="2"/>
  <c r="AF136" i="2" s="1"/>
  <c r="AD137" i="2"/>
  <c r="AD138" i="2"/>
  <c r="AD139" i="2"/>
  <c r="AD140" i="2"/>
  <c r="AF140" i="2" s="1"/>
  <c r="AD141" i="2"/>
  <c r="AD142" i="2"/>
  <c r="AD143" i="2"/>
  <c r="AD144" i="2"/>
  <c r="AF144" i="2" s="1"/>
  <c r="AD145" i="2"/>
  <c r="AD146" i="2"/>
  <c r="AD147" i="2"/>
  <c r="AD148" i="2"/>
  <c r="AF148" i="2" s="1"/>
  <c r="AD149" i="2"/>
  <c r="AD150" i="2"/>
  <c r="AD151" i="2"/>
  <c r="AD152" i="2"/>
  <c r="AF152" i="2" s="1"/>
  <c r="AD153" i="2"/>
  <c r="AD154" i="2"/>
  <c r="AD155" i="2"/>
  <c r="AD156" i="2"/>
  <c r="AF156" i="2" s="1"/>
  <c r="AD157" i="2"/>
  <c r="AD158" i="2"/>
  <c r="AD159" i="2"/>
  <c r="AG159" i="2" s="1"/>
  <c r="AD160" i="2"/>
  <c r="AF160" i="2" s="1"/>
  <c r="AD161" i="2"/>
  <c r="AD162" i="2"/>
  <c r="AD163" i="2"/>
  <c r="AD164" i="2"/>
  <c r="AF164" i="2" s="1"/>
  <c r="AD165" i="2"/>
  <c r="AD166" i="2"/>
  <c r="AD167" i="2"/>
  <c r="AD168" i="2"/>
  <c r="AF168" i="2" s="1"/>
  <c r="AD169" i="2"/>
  <c r="AD170" i="2"/>
  <c r="AD171" i="2"/>
  <c r="AD172" i="2"/>
  <c r="AF172" i="2" s="1"/>
  <c r="AD173" i="2"/>
  <c r="AD174" i="2"/>
  <c r="AD175" i="2"/>
  <c r="AD176" i="2"/>
  <c r="AF176" i="2" s="1"/>
  <c r="AD177" i="2"/>
  <c r="AD178" i="2"/>
  <c r="AD179" i="2"/>
  <c r="AD180" i="2"/>
  <c r="AF180" i="2" s="1"/>
  <c r="AD181" i="2"/>
  <c r="AD182" i="2"/>
  <c r="AD183" i="2"/>
  <c r="AD184" i="2"/>
  <c r="AF184" i="2" s="1"/>
  <c r="AD185" i="2"/>
  <c r="AD186" i="2"/>
  <c r="AD187" i="2"/>
  <c r="AD188" i="2"/>
  <c r="AF188" i="2" s="1"/>
  <c r="AD189" i="2"/>
  <c r="AD190" i="2"/>
  <c r="AD191" i="2"/>
  <c r="AD192" i="2"/>
  <c r="AF192" i="2" s="1"/>
  <c r="AD193" i="2"/>
  <c r="AD194" i="2"/>
  <c r="AD195" i="2"/>
  <c r="AD196" i="2"/>
  <c r="AF196" i="2" s="1"/>
  <c r="AD197" i="2"/>
  <c r="AD198" i="2"/>
  <c r="AD199" i="2"/>
  <c r="AD200" i="2"/>
  <c r="AF200" i="2" s="1"/>
  <c r="AD201" i="2"/>
  <c r="AD202" i="2"/>
  <c r="AD203" i="2"/>
  <c r="AD204" i="2"/>
  <c r="AF204" i="2" s="1"/>
  <c r="AD205" i="2"/>
  <c r="AD206" i="2"/>
  <c r="AD207" i="2"/>
  <c r="AD208" i="2"/>
  <c r="AF208" i="2" s="1"/>
  <c r="AD209" i="2"/>
  <c r="AD210" i="2"/>
  <c r="AD211" i="2"/>
  <c r="AD212" i="2"/>
  <c r="AD213" i="2"/>
  <c r="AD214" i="2"/>
  <c r="AD215" i="2"/>
  <c r="AD216" i="2"/>
  <c r="AD217" i="2"/>
  <c r="AD218" i="2"/>
  <c r="AD219" i="2"/>
  <c r="AD220" i="2"/>
  <c r="AD221" i="2"/>
  <c r="AD222" i="2"/>
  <c r="AD223" i="2"/>
  <c r="AD224" i="2"/>
  <c r="AD225" i="2"/>
  <c r="AD226" i="2"/>
  <c r="AD227" i="2"/>
  <c r="AD228" i="2"/>
  <c r="AD229" i="2"/>
  <c r="AD230" i="2"/>
  <c r="AD231" i="2"/>
  <c r="AD232" i="2"/>
  <c r="AD233" i="2"/>
  <c r="AD234" i="2"/>
  <c r="AD235" i="2"/>
  <c r="AD236" i="2"/>
  <c r="AD237" i="2"/>
  <c r="AD238" i="2"/>
  <c r="AD239" i="2"/>
  <c r="AD240" i="2"/>
  <c r="AD241" i="2"/>
  <c r="AD242" i="2"/>
  <c r="AD243" i="2"/>
  <c r="AD244" i="2"/>
  <c r="AD245" i="2"/>
  <c r="AD246" i="2"/>
  <c r="AD247" i="2"/>
  <c r="AD248" i="2"/>
  <c r="AD249" i="2"/>
  <c r="AD250" i="2"/>
  <c r="AD251" i="2"/>
  <c r="AD252" i="2"/>
  <c r="AD253" i="2"/>
  <c r="AD254" i="2"/>
  <c r="AD255" i="2"/>
  <c r="AD256" i="2"/>
  <c r="AD257" i="2"/>
  <c r="AD258" i="2"/>
  <c r="AD259" i="2"/>
  <c r="AD260" i="2"/>
  <c r="AD261" i="2"/>
  <c r="AD262" i="2"/>
  <c r="AG2" i="2"/>
  <c r="AG3" i="2" s="1"/>
  <c r="AH56" i="2" l="1"/>
  <c r="AI264" i="2"/>
  <c r="AI265" i="2" s="1"/>
  <c r="AI266" i="2" s="1"/>
  <c r="AI267" i="2" s="1"/>
  <c r="AI268" i="2" s="1"/>
  <c r="AI269" i="2"/>
  <c r="AI270" i="2" s="1"/>
  <c r="AI271" i="2" s="1"/>
  <c r="AI272" i="2" s="1"/>
  <c r="AI273" i="2" s="1"/>
  <c r="AI274" i="2" s="1"/>
  <c r="AI275" i="2" s="1"/>
  <c r="AI276" i="2" s="1"/>
  <c r="AI277" i="2" s="1"/>
  <c r="AI278" i="2" s="1"/>
  <c r="AI279" i="2" s="1"/>
  <c r="AI280" i="2" s="1"/>
  <c r="AI281" i="2" s="1"/>
  <c r="AI282" i="2" s="1"/>
  <c r="AI283" i="2" s="1"/>
  <c r="AI284" i="2" s="1"/>
  <c r="AI285" i="2" s="1"/>
  <c r="AI286" i="2" s="1"/>
  <c r="AI287" i="2" s="1"/>
  <c r="AI288" i="2" s="1"/>
  <c r="AI289" i="2" s="1"/>
  <c r="AI290" i="2" s="1"/>
  <c r="AI291" i="2" s="1"/>
  <c r="AI292" i="2" s="1"/>
  <c r="AI293" i="2" s="1"/>
  <c r="AI294" i="2" s="1"/>
  <c r="AI295" i="2" s="1"/>
  <c r="AI296" i="2" s="1"/>
  <c r="AI297" i="2" s="1"/>
  <c r="AI298" i="2" s="1"/>
  <c r="AI299" i="2" s="1"/>
  <c r="AI300" i="2" s="1"/>
  <c r="AI301" i="2" s="1"/>
  <c r="AI302" i="2" s="1"/>
  <c r="AI303" i="2" s="1"/>
  <c r="AI304" i="2" s="1"/>
  <c r="AI305" i="2" s="1"/>
  <c r="AI306" i="2" s="1"/>
  <c r="AI307" i="2" s="1"/>
  <c r="AI308" i="2" s="1"/>
  <c r="AI309" i="2" s="1"/>
  <c r="AI310" i="2" s="1"/>
  <c r="AI311" i="2" s="1"/>
  <c r="AI312" i="2" s="1"/>
  <c r="AI313" i="2" s="1"/>
  <c r="AA213" i="1"/>
  <c r="AC212" i="1"/>
  <c r="AB213" i="1"/>
  <c r="AF260" i="2"/>
  <c r="AF248" i="2"/>
  <c r="AF240" i="2"/>
  <c r="AF228" i="2"/>
  <c r="AF216" i="2"/>
  <c r="AG4" i="2"/>
  <c r="AG5" i="2" s="1"/>
  <c r="AG6" i="2" s="1"/>
  <c r="AG7" i="2" s="1"/>
  <c r="AG8" i="2" s="1"/>
  <c r="AG9" i="2" s="1"/>
  <c r="AG10" i="2" s="1"/>
  <c r="AG11" i="2" s="1"/>
  <c r="AG12" i="2" s="1"/>
  <c r="AG13" i="2" s="1"/>
  <c r="AG14" i="2" s="1"/>
  <c r="AG15" i="2" s="1"/>
  <c r="AG16" i="2" s="1"/>
  <c r="AG17" i="2" s="1"/>
  <c r="AG18" i="2" s="1"/>
  <c r="AG19" i="2" s="1"/>
  <c r="AG20" i="2" s="1"/>
  <c r="AG21" i="2" s="1"/>
  <c r="AG22" i="2" s="1"/>
  <c r="AG23" i="2" s="1"/>
  <c r="AG24" i="2" s="1"/>
  <c r="AG25" i="2" s="1"/>
  <c r="AG26" i="2" s="1"/>
  <c r="AG27" i="2" s="1"/>
  <c r="AG28" i="2" s="1"/>
  <c r="AG29" i="2" s="1"/>
  <c r="AG30" i="2" s="1"/>
  <c r="AG31" i="2" s="1"/>
  <c r="AG32" i="2" s="1"/>
  <c r="AG33" i="2" s="1"/>
  <c r="AG34" i="2" s="1"/>
  <c r="AG35" i="2" s="1"/>
  <c r="AG36" i="2" s="1"/>
  <c r="AG37" i="2" s="1"/>
  <c r="AG38" i="2" s="1"/>
  <c r="AG39" i="2" s="1"/>
  <c r="AG40" i="2" s="1"/>
  <c r="AG41" i="2" s="1"/>
  <c r="AG42" i="2" s="1"/>
  <c r="AG43" i="2" s="1"/>
  <c r="AG44" i="2" s="1"/>
  <c r="AG45" i="2" s="1"/>
  <c r="AG46" i="2" s="1"/>
  <c r="AG47" i="2" s="1"/>
  <c r="AG48" i="2" s="1"/>
  <c r="AG49" i="2" s="1"/>
  <c r="AG50" i="2" s="1"/>
  <c r="AG51" i="2" s="1"/>
  <c r="AG52" i="2" s="1"/>
  <c r="AG53" i="2" s="1"/>
  <c r="AG54" i="2" s="1"/>
  <c r="AG211" i="2"/>
  <c r="AG160" i="2"/>
  <c r="AG161" i="2" s="1"/>
  <c r="AG162" i="2" s="1"/>
  <c r="AG163" i="2" s="1"/>
  <c r="AG164" i="2" s="1"/>
  <c r="AG165" i="2" s="1"/>
  <c r="AG166" i="2" s="1"/>
  <c r="AG167" i="2" s="1"/>
  <c r="AG168" i="2" s="1"/>
  <c r="AG169" i="2" s="1"/>
  <c r="AG170" i="2" s="1"/>
  <c r="AG171" i="2" s="1"/>
  <c r="AG172" i="2" s="1"/>
  <c r="AG173" i="2" s="1"/>
  <c r="AG174" i="2" s="1"/>
  <c r="AG175" i="2" s="1"/>
  <c r="AG176" i="2" s="1"/>
  <c r="AG177" i="2" s="1"/>
  <c r="AG178" i="2" s="1"/>
  <c r="AG179" i="2" s="1"/>
  <c r="AG180" i="2" s="1"/>
  <c r="AG181" i="2" s="1"/>
  <c r="AG182" i="2" s="1"/>
  <c r="AG183" i="2" s="1"/>
  <c r="AG184" i="2" s="1"/>
  <c r="AG185" i="2" s="1"/>
  <c r="AG186" i="2" s="1"/>
  <c r="AG187" i="2" s="1"/>
  <c r="AG188" i="2" s="1"/>
  <c r="AG189" i="2" s="1"/>
  <c r="AG190" i="2" s="1"/>
  <c r="AG191" i="2" s="1"/>
  <c r="AG192" i="2" s="1"/>
  <c r="AG193" i="2" s="1"/>
  <c r="AG194" i="2" s="1"/>
  <c r="AG195" i="2" s="1"/>
  <c r="AG196" i="2" s="1"/>
  <c r="AG197" i="2" s="1"/>
  <c r="AG198" i="2" s="1"/>
  <c r="AG199" i="2" s="1"/>
  <c r="AG200" i="2" s="1"/>
  <c r="AG201" i="2" s="1"/>
  <c r="AG202" i="2" s="1"/>
  <c r="AG203" i="2" s="1"/>
  <c r="AG204" i="2" s="1"/>
  <c r="AG205" i="2" s="1"/>
  <c r="AG206" i="2" s="1"/>
  <c r="AG207" i="2" s="1"/>
  <c r="AG208" i="2" s="1"/>
  <c r="AG209" i="2" s="1"/>
  <c r="AG210" i="2" s="1"/>
  <c r="AG108" i="2"/>
  <c r="AG109" i="2" s="1"/>
  <c r="AG110" i="2" s="1"/>
  <c r="AG111" i="2" s="1"/>
  <c r="AG112" i="2" s="1"/>
  <c r="AG113" i="2" s="1"/>
  <c r="AG114" i="2" s="1"/>
  <c r="AG115" i="2" s="1"/>
  <c r="AG116" i="2" s="1"/>
  <c r="AG117" i="2" s="1"/>
  <c r="AG118" i="2" s="1"/>
  <c r="AG119" i="2" s="1"/>
  <c r="AG120" i="2" s="1"/>
  <c r="AG121" i="2" s="1"/>
  <c r="AG122" i="2" s="1"/>
  <c r="AG123" i="2" s="1"/>
  <c r="AG124" i="2" s="1"/>
  <c r="AG125" i="2" s="1"/>
  <c r="AG126" i="2" s="1"/>
  <c r="AG127" i="2" s="1"/>
  <c r="AG128" i="2" s="1"/>
  <c r="AG129" i="2" s="1"/>
  <c r="AG130" i="2" s="1"/>
  <c r="AG131" i="2" s="1"/>
  <c r="AG132" i="2" s="1"/>
  <c r="AG133" i="2" s="1"/>
  <c r="AG134" i="2" s="1"/>
  <c r="AG135" i="2" s="1"/>
  <c r="AG136" i="2" s="1"/>
  <c r="AG137" i="2" s="1"/>
  <c r="AG138" i="2" s="1"/>
  <c r="AG139" i="2" s="1"/>
  <c r="AG140" i="2" s="1"/>
  <c r="AG141" i="2" s="1"/>
  <c r="AG142" i="2" s="1"/>
  <c r="AG143" i="2" s="1"/>
  <c r="AG144" i="2" s="1"/>
  <c r="AG145" i="2" s="1"/>
  <c r="AG146" i="2" s="1"/>
  <c r="AG147" i="2" s="1"/>
  <c r="AG148" i="2" s="1"/>
  <c r="AG149" i="2" s="1"/>
  <c r="AG150" i="2" s="1"/>
  <c r="AG151" i="2" s="1"/>
  <c r="AG152" i="2" s="1"/>
  <c r="AG153" i="2" s="1"/>
  <c r="AG154" i="2" s="1"/>
  <c r="AG155" i="2" s="1"/>
  <c r="AG156" i="2" s="1"/>
  <c r="AG157" i="2" s="1"/>
  <c r="AG158" i="2" s="1"/>
  <c r="AG56" i="2"/>
  <c r="AG57" i="2" s="1"/>
  <c r="AG58" i="2" s="1"/>
  <c r="AG59" i="2" s="1"/>
  <c r="AG60" i="2" s="1"/>
  <c r="AG61" i="2" s="1"/>
  <c r="AG62" i="2" s="1"/>
  <c r="AG63" i="2" s="1"/>
  <c r="AG64" i="2" s="1"/>
  <c r="AG65" i="2" s="1"/>
  <c r="AG66" i="2" s="1"/>
  <c r="AG67" i="2" s="1"/>
  <c r="AG68" i="2" s="1"/>
  <c r="AG69" i="2" s="1"/>
  <c r="AG70" i="2" s="1"/>
  <c r="AG71" i="2" s="1"/>
  <c r="AG72" i="2" s="1"/>
  <c r="AG73" i="2" s="1"/>
  <c r="AG74" i="2" s="1"/>
  <c r="AG75" i="2" s="1"/>
  <c r="AG76" i="2" s="1"/>
  <c r="AG77" i="2" s="1"/>
  <c r="AG78" i="2" s="1"/>
  <c r="AG79" i="2" s="1"/>
  <c r="AG80" i="2" s="1"/>
  <c r="AG81" i="2" s="1"/>
  <c r="AG82" i="2" s="1"/>
  <c r="AG83" i="2" s="1"/>
  <c r="AG84" i="2" s="1"/>
  <c r="AG85" i="2" s="1"/>
  <c r="AG86" i="2" s="1"/>
  <c r="AG87" i="2" s="1"/>
  <c r="AG88" i="2" s="1"/>
  <c r="AG89" i="2" s="1"/>
  <c r="AG90" i="2" s="1"/>
  <c r="AG91" i="2" s="1"/>
  <c r="AG92" i="2" s="1"/>
  <c r="AG93" i="2" s="1"/>
  <c r="AG94" i="2" s="1"/>
  <c r="AG95" i="2" s="1"/>
  <c r="AG96" i="2" s="1"/>
  <c r="AG97" i="2" s="1"/>
  <c r="AG98" i="2" s="1"/>
  <c r="AG99" i="2" s="1"/>
  <c r="AG100" i="2" s="1"/>
  <c r="AG101" i="2" s="1"/>
  <c r="AG102" i="2" s="1"/>
  <c r="AG103" i="2" s="1"/>
  <c r="AG104" i="2" s="1"/>
  <c r="AG105" i="2" s="1"/>
  <c r="AG106" i="2" s="1"/>
  <c r="AF256" i="2"/>
  <c r="AF244" i="2"/>
  <c r="AF232" i="2"/>
  <c r="AF220" i="2"/>
  <c r="AH5" i="2"/>
  <c r="AH6" i="2" s="1"/>
  <c r="AH7" i="2" s="1"/>
  <c r="AH8" i="2" s="1"/>
  <c r="AH9" i="2" s="1"/>
  <c r="AH10" i="2" s="1"/>
  <c r="AH11" i="2" s="1"/>
  <c r="AH12" i="2" s="1"/>
  <c r="AH13" i="2" s="1"/>
  <c r="AH14" i="2" s="1"/>
  <c r="AH15" i="2" s="1"/>
  <c r="AH16" i="2" s="1"/>
  <c r="AH17" i="2" s="1"/>
  <c r="AH18" i="2" s="1"/>
  <c r="AH19" i="2" s="1"/>
  <c r="AH20" i="2" s="1"/>
  <c r="AH21" i="2" s="1"/>
  <c r="AH22" i="2" s="1"/>
  <c r="AH23" i="2" s="1"/>
  <c r="AH24" i="2" s="1"/>
  <c r="AH25" i="2" s="1"/>
  <c r="AH26" i="2" s="1"/>
  <c r="AH27" i="2" s="1"/>
  <c r="AH28" i="2" s="1"/>
  <c r="AH29" i="2" s="1"/>
  <c r="AH30" i="2" s="1"/>
  <c r="AH31" i="2" s="1"/>
  <c r="AH32" i="2" s="1"/>
  <c r="AH33" i="2" s="1"/>
  <c r="AH34" i="2" s="1"/>
  <c r="AH35" i="2" s="1"/>
  <c r="AH36" i="2" s="1"/>
  <c r="AH37" i="2" s="1"/>
  <c r="AH38" i="2" s="1"/>
  <c r="AH39" i="2" s="1"/>
  <c r="AH40" i="2" s="1"/>
  <c r="AH41" i="2" s="1"/>
  <c r="AH42" i="2" s="1"/>
  <c r="AH43" i="2" s="1"/>
  <c r="AH44" i="2" s="1"/>
  <c r="AH45" i="2" s="1"/>
  <c r="AH46" i="2" s="1"/>
  <c r="AH47" i="2" s="1"/>
  <c r="AH48" i="2" s="1"/>
  <c r="AH49" i="2" s="1"/>
  <c r="AH50" i="2" s="1"/>
  <c r="AH51" i="2" s="1"/>
  <c r="AH52" i="2" s="1"/>
  <c r="AH53" i="2" s="1"/>
  <c r="AH54" i="2" s="1"/>
  <c r="AH211" i="2"/>
  <c r="AH161" i="2"/>
  <c r="AH162" i="2" s="1"/>
  <c r="AH163" i="2" s="1"/>
  <c r="AH164" i="2" s="1"/>
  <c r="AH165" i="2" s="1"/>
  <c r="AH166" i="2" s="1"/>
  <c r="AH167" i="2" s="1"/>
  <c r="AH168" i="2" s="1"/>
  <c r="AH169" i="2" s="1"/>
  <c r="AH170" i="2" s="1"/>
  <c r="AH171" i="2" s="1"/>
  <c r="AH172" i="2" s="1"/>
  <c r="AH173" i="2" s="1"/>
  <c r="AH174" i="2" s="1"/>
  <c r="AH175" i="2" s="1"/>
  <c r="AH176" i="2" s="1"/>
  <c r="AH177" i="2" s="1"/>
  <c r="AH178" i="2" s="1"/>
  <c r="AH179" i="2" s="1"/>
  <c r="AH180" i="2" s="1"/>
  <c r="AH181" i="2" s="1"/>
  <c r="AH182" i="2" s="1"/>
  <c r="AH183" i="2" s="1"/>
  <c r="AH184" i="2" s="1"/>
  <c r="AH185" i="2" s="1"/>
  <c r="AH186" i="2" s="1"/>
  <c r="AH187" i="2" s="1"/>
  <c r="AH188" i="2" s="1"/>
  <c r="AH189" i="2" s="1"/>
  <c r="AH190" i="2" s="1"/>
  <c r="AH191" i="2" s="1"/>
  <c r="AH192" i="2" s="1"/>
  <c r="AH193" i="2" s="1"/>
  <c r="AH194" i="2" s="1"/>
  <c r="AH195" i="2" s="1"/>
  <c r="AH196" i="2" s="1"/>
  <c r="AH197" i="2" s="1"/>
  <c r="AH198" i="2" s="1"/>
  <c r="AH199" i="2" s="1"/>
  <c r="AH200" i="2" s="1"/>
  <c r="AH201" i="2" s="1"/>
  <c r="AH202" i="2" s="1"/>
  <c r="AH203" i="2" s="1"/>
  <c r="AH204" i="2" s="1"/>
  <c r="AH205" i="2" s="1"/>
  <c r="AH206" i="2" s="1"/>
  <c r="AH207" i="2" s="1"/>
  <c r="AH208" i="2" s="1"/>
  <c r="AH209" i="2" s="1"/>
  <c r="AH210" i="2" s="1"/>
  <c r="AH109" i="2"/>
  <c r="AH110" i="2" s="1"/>
  <c r="AH111" i="2" s="1"/>
  <c r="AH112" i="2" s="1"/>
  <c r="AH113" i="2" s="1"/>
  <c r="AH114" i="2" s="1"/>
  <c r="AH115" i="2" s="1"/>
  <c r="AH116" i="2" s="1"/>
  <c r="AH117" i="2" s="1"/>
  <c r="AH118" i="2" s="1"/>
  <c r="AH119" i="2" s="1"/>
  <c r="AH120" i="2" s="1"/>
  <c r="AH121" i="2" s="1"/>
  <c r="AH122" i="2" s="1"/>
  <c r="AH123" i="2" s="1"/>
  <c r="AH124" i="2" s="1"/>
  <c r="AH125" i="2" s="1"/>
  <c r="AH126" i="2" s="1"/>
  <c r="AH127" i="2" s="1"/>
  <c r="AH128" i="2" s="1"/>
  <c r="AH129" i="2" s="1"/>
  <c r="AH130" i="2" s="1"/>
  <c r="AH131" i="2" s="1"/>
  <c r="AH132" i="2" s="1"/>
  <c r="AH133" i="2" s="1"/>
  <c r="AH134" i="2" s="1"/>
  <c r="AH135" i="2" s="1"/>
  <c r="AH136" i="2" s="1"/>
  <c r="AH137" i="2" s="1"/>
  <c r="AH138" i="2" s="1"/>
  <c r="AH139" i="2" s="1"/>
  <c r="AH140" i="2" s="1"/>
  <c r="AH141" i="2" s="1"/>
  <c r="AH142" i="2" s="1"/>
  <c r="AH143" i="2" s="1"/>
  <c r="AH144" i="2" s="1"/>
  <c r="AH145" i="2" s="1"/>
  <c r="AH146" i="2" s="1"/>
  <c r="AH147" i="2" s="1"/>
  <c r="AH148" i="2" s="1"/>
  <c r="AH149" i="2" s="1"/>
  <c r="AH150" i="2" s="1"/>
  <c r="AH151" i="2" s="1"/>
  <c r="AH152" i="2" s="1"/>
  <c r="AH153" i="2" s="1"/>
  <c r="AH154" i="2" s="1"/>
  <c r="AH155" i="2" s="1"/>
  <c r="AH156" i="2" s="1"/>
  <c r="AH157" i="2" s="1"/>
  <c r="AH158" i="2" s="1"/>
  <c r="AH57" i="2"/>
  <c r="AH58" i="2" s="1"/>
  <c r="AH59" i="2" s="1"/>
  <c r="AH60" i="2" s="1"/>
  <c r="AH61" i="2" s="1"/>
  <c r="AH62" i="2" s="1"/>
  <c r="AH63" i="2" s="1"/>
  <c r="AH64" i="2" s="1"/>
  <c r="AH65" i="2" s="1"/>
  <c r="AH66" i="2" s="1"/>
  <c r="AH67" i="2" s="1"/>
  <c r="AH68" i="2" s="1"/>
  <c r="AH69" i="2" s="1"/>
  <c r="AH70" i="2" s="1"/>
  <c r="AH71" i="2" s="1"/>
  <c r="AH72" i="2" s="1"/>
  <c r="AH73" i="2" s="1"/>
  <c r="AH74" i="2" s="1"/>
  <c r="AH75" i="2" s="1"/>
  <c r="AH76" i="2" s="1"/>
  <c r="AH77" i="2" s="1"/>
  <c r="AH78" i="2" s="1"/>
  <c r="AH79" i="2" s="1"/>
  <c r="AH80" i="2" s="1"/>
  <c r="AH81" i="2" s="1"/>
  <c r="AH82" i="2" s="1"/>
  <c r="AH83" i="2" s="1"/>
  <c r="AH84" i="2" s="1"/>
  <c r="AH85" i="2" s="1"/>
  <c r="AH86" i="2" s="1"/>
  <c r="AH87" i="2" s="1"/>
  <c r="AH88" i="2" s="1"/>
  <c r="AH89" i="2" s="1"/>
  <c r="AH90" i="2" s="1"/>
  <c r="AH91" i="2" s="1"/>
  <c r="AH92" i="2" s="1"/>
  <c r="AH93" i="2" s="1"/>
  <c r="AH94" i="2" s="1"/>
  <c r="AH95" i="2" s="1"/>
  <c r="AH96" i="2" s="1"/>
  <c r="AH97" i="2" s="1"/>
  <c r="AH98" i="2" s="1"/>
  <c r="AH99" i="2" s="1"/>
  <c r="AH100" i="2" s="1"/>
  <c r="AH101" i="2" s="1"/>
  <c r="AH102" i="2" s="1"/>
  <c r="AH103" i="2" s="1"/>
  <c r="AH104" i="2" s="1"/>
  <c r="AH105" i="2" s="1"/>
  <c r="AH106" i="2" s="1"/>
  <c r="AF252" i="2"/>
  <c r="AF236" i="2"/>
  <c r="AF224" i="2"/>
  <c r="AF212" i="2"/>
  <c r="AF261" i="2"/>
  <c r="AF257" i="2"/>
  <c r="AF253" i="2"/>
  <c r="AF249" i="2"/>
  <c r="AF245" i="2"/>
  <c r="AF241" i="2"/>
  <c r="AF237" i="2"/>
  <c r="AF233" i="2"/>
  <c r="AF229" i="2"/>
  <c r="AF225" i="2"/>
  <c r="AF221" i="2"/>
  <c r="AF217" i="2"/>
  <c r="AF213" i="2"/>
  <c r="AF209" i="2"/>
  <c r="AF205" i="2"/>
  <c r="AF201" i="2"/>
  <c r="AF197" i="2"/>
  <c r="AF193" i="2"/>
  <c r="AF189" i="2"/>
  <c r="AF185" i="2"/>
  <c r="AF181" i="2"/>
  <c r="AF177" i="2"/>
  <c r="AF173" i="2"/>
  <c r="AF169" i="2"/>
  <c r="AF165" i="2"/>
  <c r="AF161" i="2"/>
  <c r="AF157" i="2"/>
  <c r="AF153" i="2"/>
  <c r="AF149" i="2"/>
  <c r="AF145" i="2"/>
  <c r="AF141" i="2"/>
  <c r="AF137" i="2"/>
  <c r="AF133" i="2"/>
  <c r="AF129" i="2"/>
  <c r="AF125" i="2"/>
  <c r="AF121" i="2"/>
  <c r="AF117" i="2"/>
  <c r="AF113" i="2"/>
  <c r="AF109" i="2"/>
  <c r="AF105" i="2"/>
  <c r="AF101" i="2"/>
  <c r="AF97" i="2"/>
  <c r="AF93" i="2"/>
  <c r="AF89" i="2"/>
  <c r="AF85" i="2"/>
  <c r="AF81" i="2"/>
  <c r="AF77" i="2"/>
  <c r="AF73" i="2"/>
  <c r="AF69" i="2"/>
  <c r="AF65" i="2"/>
  <c r="AF61" i="2"/>
  <c r="AF57" i="2"/>
  <c r="AF53" i="2"/>
  <c r="AF49" i="2"/>
  <c r="AF45" i="2"/>
  <c r="AF41" i="2"/>
  <c r="AF37" i="2"/>
  <c r="AF33" i="2"/>
  <c r="AF29" i="2"/>
  <c r="AF25" i="2"/>
  <c r="AF21" i="2"/>
  <c r="AF17" i="2"/>
  <c r="AF13" i="2"/>
  <c r="AF9" i="2"/>
  <c r="AF5" i="2"/>
  <c r="AF262" i="2"/>
  <c r="AF258" i="2"/>
  <c r="AF254" i="2"/>
  <c r="AF250" i="2"/>
  <c r="AF246" i="2"/>
  <c r="AF242" i="2"/>
  <c r="AF238" i="2"/>
  <c r="AF234" i="2"/>
  <c r="AF230" i="2"/>
  <c r="AF226" i="2"/>
  <c r="AF222" i="2"/>
  <c r="AF218" i="2"/>
  <c r="AF214" i="2"/>
  <c r="AF210" i="2"/>
  <c r="AF206" i="2"/>
  <c r="AF202" i="2"/>
  <c r="AF198" i="2"/>
  <c r="AF194" i="2"/>
  <c r="AF190" i="2"/>
  <c r="AF186" i="2"/>
  <c r="AF182" i="2"/>
  <c r="AF178" i="2"/>
  <c r="AF174" i="2"/>
  <c r="AF170" i="2"/>
  <c r="AF166" i="2"/>
  <c r="AF162" i="2"/>
  <c r="AF158" i="2"/>
  <c r="AF154" i="2"/>
  <c r="AF150" i="2"/>
  <c r="AF146" i="2"/>
  <c r="AF142" i="2"/>
  <c r="AF138" i="2"/>
  <c r="AF134" i="2"/>
  <c r="AF130" i="2"/>
  <c r="AF126" i="2"/>
  <c r="AF122" i="2"/>
  <c r="AF118" i="2"/>
  <c r="AF114" i="2"/>
  <c r="AF110" i="2"/>
  <c r="AF106" i="2"/>
  <c r="AF102" i="2"/>
  <c r="AF98" i="2"/>
  <c r="AF94" i="2"/>
  <c r="AF90" i="2"/>
  <c r="AF86" i="2"/>
  <c r="AF82" i="2"/>
  <c r="AF78" i="2"/>
  <c r="AF74" i="2"/>
  <c r="AF70" i="2"/>
  <c r="AF66" i="2"/>
  <c r="AF62" i="2"/>
  <c r="AF58" i="2"/>
  <c r="AF54" i="2"/>
  <c r="AF50" i="2"/>
  <c r="AF46" i="2"/>
  <c r="AF42" i="2"/>
  <c r="AF38" i="2"/>
  <c r="AF34" i="2"/>
  <c r="AF30" i="2"/>
  <c r="AF26" i="2"/>
  <c r="AF22" i="2"/>
  <c r="AF18" i="2"/>
  <c r="AF14" i="2"/>
  <c r="AF10" i="2"/>
  <c r="AF6" i="2"/>
  <c r="AF259" i="2"/>
  <c r="AF251" i="2"/>
  <c r="AF243" i="2"/>
  <c r="AF235" i="2"/>
  <c r="AF227" i="2"/>
  <c r="AF219" i="2"/>
  <c r="AF211" i="2"/>
  <c r="AF203" i="2"/>
  <c r="AF195" i="2"/>
  <c r="AF187" i="2"/>
  <c r="AF179" i="2"/>
  <c r="AF171" i="2"/>
  <c r="AF163" i="2"/>
  <c r="AF155" i="2"/>
  <c r="AF147" i="2"/>
  <c r="AF139" i="2"/>
  <c r="AF131" i="2"/>
  <c r="AF123" i="2"/>
  <c r="AF115" i="2"/>
  <c r="AF107" i="2"/>
  <c r="AI107" i="2" s="1"/>
  <c r="AI108" i="2" s="1"/>
  <c r="AF99" i="2"/>
  <c r="AF91" i="2"/>
  <c r="AF83" i="2"/>
  <c r="AF75" i="2"/>
  <c r="AF67" i="2"/>
  <c r="AF59" i="2"/>
  <c r="AF51" i="2"/>
  <c r="AF43" i="2"/>
  <c r="AF35" i="2"/>
  <c r="AF27" i="2"/>
  <c r="AF19" i="2"/>
  <c r="AF11" i="2"/>
  <c r="AF3" i="2"/>
  <c r="AF44" i="2"/>
  <c r="AF40" i="2"/>
  <c r="AF36" i="2"/>
  <c r="AF32" i="2"/>
  <c r="AF28" i="2"/>
  <c r="AF24" i="2"/>
  <c r="AF20" i="2"/>
  <c r="AF16" i="2"/>
  <c r="AF12" i="2"/>
  <c r="AF8" i="2"/>
  <c r="AF4" i="2"/>
  <c r="AF255" i="2"/>
  <c r="AF247" i="2"/>
  <c r="AF239" i="2"/>
  <c r="AF231" i="2"/>
  <c r="AF223" i="2"/>
  <c r="AF215" i="2"/>
  <c r="AF207" i="2"/>
  <c r="AF199" i="2"/>
  <c r="AF191" i="2"/>
  <c r="AF183" i="2"/>
  <c r="AF175" i="2"/>
  <c r="AF167" i="2"/>
  <c r="AF159" i="2"/>
  <c r="AI159" i="2" s="1"/>
  <c r="AI160" i="2" s="1"/>
  <c r="AF151" i="2"/>
  <c r="AF143" i="2"/>
  <c r="AF135" i="2"/>
  <c r="AF127" i="2"/>
  <c r="AF119" i="2"/>
  <c r="AF111" i="2"/>
  <c r="AF103" i="2"/>
  <c r="AF95" i="2"/>
  <c r="AF87" i="2"/>
  <c r="AF79" i="2"/>
  <c r="AF71" i="2"/>
  <c r="AF63" i="2"/>
  <c r="AF55" i="2"/>
  <c r="AI55" i="2" s="1"/>
  <c r="AI56" i="2" s="1"/>
  <c r="AI57" i="2" s="1"/>
  <c r="AF47" i="2"/>
  <c r="AF39" i="2"/>
  <c r="AF31" i="2"/>
  <c r="AF23" i="2"/>
  <c r="AF15" i="2"/>
  <c r="AF7" i="2"/>
  <c r="AF2" i="2"/>
  <c r="AI2" i="2" s="1"/>
  <c r="AI3" i="2" s="1"/>
  <c r="AI109" i="2" l="1"/>
  <c r="AI110" i="2" s="1"/>
  <c r="AI111" i="2" s="1"/>
  <c r="AI112" i="2" s="1"/>
  <c r="AI113" i="2" s="1"/>
  <c r="AI114" i="2" s="1"/>
  <c r="AI115" i="2" s="1"/>
  <c r="AI116" i="2" s="1"/>
  <c r="AI117" i="2" s="1"/>
  <c r="AI118" i="2" s="1"/>
  <c r="AI119" i="2" s="1"/>
  <c r="AI120" i="2" s="1"/>
  <c r="AI121" i="2" s="1"/>
  <c r="AI122" i="2" s="1"/>
  <c r="AI123" i="2" s="1"/>
  <c r="AI124" i="2" s="1"/>
  <c r="AI125" i="2" s="1"/>
  <c r="AI126" i="2" s="1"/>
  <c r="AI127" i="2" s="1"/>
  <c r="AI128" i="2" s="1"/>
  <c r="AI129" i="2" s="1"/>
  <c r="AI130" i="2" s="1"/>
  <c r="AI131" i="2" s="1"/>
  <c r="AI132" i="2" s="1"/>
  <c r="AI133" i="2" s="1"/>
  <c r="AI134" i="2" s="1"/>
  <c r="AI135" i="2" s="1"/>
  <c r="AI136" i="2" s="1"/>
  <c r="AI137" i="2" s="1"/>
  <c r="AI138" i="2" s="1"/>
  <c r="AI139" i="2" s="1"/>
  <c r="AI140" i="2" s="1"/>
  <c r="AI141" i="2" s="1"/>
  <c r="AI142" i="2" s="1"/>
  <c r="AI143" i="2" s="1"/>
  <c r="AI144" i="2" s="1"/>
  <c r="AI145" i="2" s="1"/>
  <c r="AI146" i="2" s="1"/>
  <c r="AI147" i="2" s="1"/>
  <c r="AI148" i="2" s="1"/>
  <c r="AI149" i="2" s="1"/>
  <c r="AI150" i="2" s="1"/>
  <c r="AI151" i="2" s="1"/>
  <c r="AI152" i="2" s="1"/>
  <c r="AI153" i="2" s="1"/>
  <c r="AI154" i="2" s="1"/>
  <c r="AI155" i="2" s="1"/>
  <c r="AI156" i="2" s="1"/>
  <c r="AI157" i="2" s="1"/>
  <c r="AI158" i="2" s="1"/>
  <c r="AI314" i="2"/>
  <c r="AA214" i="1"/>
  <c r="AI58" i="2"/>
  <c r="AI59" i="2" s="1"/>
  <c r="AI60" i="2" s="1"/>
  <c r="AI61" i="2" s="1"/>
  <c r="AI62" i="2" s="1"/>
  <c r="AI63" i="2" s="1"/>
  <c r="AI64" i="2" s="1"/>
  <c r="AI65" i="2" s="1"/>
  <c r="AI66" i="2" s="1"/>
  <c r="AI67" i="2" s="1"/>
  <c r="AI68" i="2" s="1"/>
  <c r="AI69" i="2" s="1"/>
  <c r="AI70" i="2" s="1"/>
  <c r="AI71" i="2" s="1"/>
  <c r="AI72" i="2" s="1"/>
  <c r="AI73" i="2" s="1"/>
  <c r="AI74" i="2" s="1"/>
  <c r="AI75" i="2" s="1"/>
  <c r="AI76" i="2" s="1"/>
  <c r="AI77" i="2" s="1"/>
  <c r="AI78" i="2" s="1"/>
  <c r="AI79" i="2" s="1"/>
  <c r="AI80" i="2" s="1"/>
  <c r="AI81" i="2" s="1"/>
  <c r="AI82" i="2" s="1"/>
  <c r="AI83" i="2" s="1"/>
  <c r="AI84" i="2" s="1"/>
  <c r="AI85" i="2" s="1"/>
  <c r="AI86" i="2" s="1"/>
  <c r="AI87" i="2" s="1"/>
  <c r="AI88" i="2" s="1"/>
  <c r="AI89" i="2" s="1"/>
  <c r="AI90" i="2" s="1"/>
  <c r="AI91" i="2" s="1"/>
  <c r="AI92" i="2" s="1"/>
  <c r="AI93" i="2" s="1"/>
  <c r="AI94" i="2" s="1"/>
  <c r="AI95" i="2" s="1"/>
  <c r="AI96" i="2" s="1"/>
  <c r="AI97" i="2" s="1"/>
  <c r="AI98" i="2" s="1"/>
  <c r="AI99" i="2" s="1"/>
  <c r="AI100" i="2" s="1"/>
  <c r="AI101" i="2" s="1"/>
  <c r="AI102" i="2" s="1"/>
  <c r="AI103" i="2" s="1"/>
  <c r="AI104" i="2" s="1"/>
  <c r="AI105" i="2" s="1"/>
  <c r="AI106" i="2" s="1"/>
  <c r="AI161" i="2"/>
  <c r="AI162" i="2" s="1"/>
  <c r="AI163" i="2" s="1"/>
  <c r="AI164" i="2" s="1"/>
  <c r="AI165" i="2" s="1"/>
  <c r="AB214" i="1"/>
  <c r="AC213" i="1"/>
  <c r="AI4" i="2"/>
  <c r="AI5" i="2" s="1"/>
  <c r="AI6" i="2" s="1"/>
  <c r="AI7" i="2" s="1"/>
  <c r="AI8" i="2" s="1"/>
  <c r="AI9" i="2" s="1"/>
  <c r="AI10" i="2" s="1"/>
  <c r="AI11" i="2" s="1"/>
  <c r="AI12" i="2" s="1"/>
  <c r="AI13" i="2" s="1"/>
  <c r="AI14" i="2" s="1"/>
  <c r="AI15" i="2" s="1"/>
  <c r="AI16" i="2" s="1"/>
  <c r="AI17" i="2" s="1"/>
  <c r="AI18" i="2" s="1"/>
  <c r="AI19" i="2" s="1"/>
  <c r="AI20" i="2" s="1"/>
  <c r="AI21" i="2" s="1"/>
  <c r="AI22" i="2" s="1"/>
  <c r="AI23" i="2" s="1"/>
  <c r="AI24" i="2" s="1"/>
  <c r="AI25" i="2" s="1"/>
  <c r="AI26" i="2" s="1"/>
  <c r="AI27" i="2" s="1"/>
  <c r="AI28" i="2" s="1"/>
  <c r="AI29" i="2" s="1"/>
  <c r="AI30" i="2" s="1"/>
  <c r="AI31" i="2" s="1"/>
  <c r="AI32" i="2" s="1"/>
  <c r="AI33" i="2" s="1"/>
  <c r="AI34" i="2" s="1"/>
  <c r="AI35" i="2" s="1"/>
  <c r="AI36" i="2" s="1"/>
  <c r="AI37" i="2" s="1"/>
  <c r="AI38" i="2" s="1"/>
  <c r="AI39" i="2" s="1"/>
  <c r="AI40" i="2" s="1"/>
  <c r="AI41" i="2" s="1"/>
  <c r="AI42" i="2" s="1"/>
  <c r="AI43" i="2" s="1"/>
  <c r="AI44" i="2" s="1"/>
  <c r="AI45" i="2" s="1"/>
  <c r="AI46" i="2" s="1"/>
  <c r="AI47" i="2" s="1"/>
  <c r="AI48" i="2" s="1"/>
  <c r="AI49" i="2" s="1"/>
  <c r="AI50" i="2" s="1"/>
  <c r="AI51" i="2" s="1"/>
  <c r="AI52" i="2" s="1"/>
  <c r="AI53" i="2" s="1"/>
  <c r="AI54" i="2" s="1"/>
  <c r="AI166" i="2"/>
  <c r="AI167" i="2" s="1"/>
  <c r="AI168" i="2" s="1"/>
  <c r="AI169" i="2" s="1"/>
  <c r="AI170" i="2" s="1"/>
  <c r="AI171" i="2" s="1"/>
  <c r="AI172" i="2" s="1"/>
  <c r="AI173" i="2" s="1"/>
  <c r="AI174" i="2" s="1"/>
  <c r="AI175" i="2" s="1"/>
  <c r="AI176" i="2" s="1"/>
  <c r="AI177" i="2" s="1"/>
  <c r="AI178" i="2" s="1"/>
  <c r="AI179" i="2" s="1"/>
  <c r="AI180" i="2" s="1"/>
  <c r="AI181" i="2" s="1"/>
  <c r="AI182" i="2" s="1"/>
  <c r="AI183" i="2" s="1"/>
  <c r="AI184" i="2" s="1"/>
  <c r="AI185" i="2" s="1"/>
  <c r="AI186" i="2" s="1"/>
  <c r="AI187" i="2" s="1"/>
  <c r="AI188" i="2" s="1"/>
  <c r="AI189" i="2" s="1"/>
  <c r="AI190" i="2" s="1"/>
  <c r="AI191" i="2" s="1"/>
  <c r="AI192" i="2" s="1"/>
  <c r="AI193" i="2" s="1"/>
  <c r="AI194" i="2" s="1"/>
  <c r="AI195" i="2" s="1"/>
  <c r="AI196" i="2" s="1"/>
  <c r="AI197" i="2" s="1"/>
  <c r="AI198" i="2" s="1"/>
  <c r="AI199" i="2" s="1"/>
  <c r="AI200" i="2" s="1"/>
  <c r="AI201" i="2" s="1"/>
  <c r="AI202" i="2" s="1"/>
  <c r="AI203" i="2" s="1"/>
  <c r="AI204" i="2" s="1"/>
  <c r="AI205" i="2" s="1"/>
  <c r="AI206" i="2" s="1"/>
  <c r="AI207" i="2" s="1"/>
  <c r="AI208" i="2" s="1"/>
  <c r="AI209" i="2" s="1"/>
  <c r="AI210" i="2" s="1"/>
  <c r="AI211" i="2"/>
  <c r="AH212" i="2"/>
  <c r="AG212" i="2"/>
  <c r="AA215" i="1" l="1"/>
  <c r="AB215" i="1"/>
  <c r="AC214" i="1"/>
  <c r="AG213" i="2"/>
  <c r="AI212" i="2"/>
  <c r="AH213" i="2"/>
  <c r="AA216" i="1" l="1"/>
  <c r="AC215" i="1"/>
  <c r="AB216" i="1"/>
  <c r="AI213" i="2"/>
  <c r="AH214" i="2"/>
  <c r="AG214" i="2"/>
  <c r="AA217" i="1" l="1"/>
  <c r="AB217" i="1"/>
  <c r="AC216" i="1"/>
  <c r="AH215" i="2"/>
  <c r="AI214" i="2"/>
  <c r="AG215" i="2"/>
  <c r="AA218" i="1" l="1"/>
  <c r="AC217" i="1"/>
  <c r="AB218" i="1"/>
  <c r="AH216" i="2"/>
  <c r="AI215" i="2"/>
  <c r="AG216" i="2"/>
  <c r="AA219" i="1" l="1"/>
  <c r="AC218" i="1"/>
  <c r="AB219" i="1"/>
  <c r="AI216" i="2"/>
  <c r="AG217" i="2"/>
  <c r="AH217" i="2"/>
  <c r="AA220" i="1" l="1"/>
  <c r="AB220" i="1"/>
  <c r="AC219" i="1"/>
  <c r="AG218" i="2"/>
  <c r="AH218" i="2"/>
  <c r="AI217" i="2"/>
  <c r="AA221" i="1" l="1"/>
  <c r="AA222" i="1"/>
  <c r="AC220" i="1"/>
  <c r="AB221" i="1"/>
  <c r="AH219" i="2"/>
  <c r="AI218" i="2"/>
  <c r="AG219" i="2"/>
  <c r="AC221" i="1" l="1"/>
  <c r="AB222" i="1"/>
  <c r="AA223" i="1"/>
  <c r="AI219" i="2"/>
  <c r="AG220" i="2"/>
  <c r="AH220" i="2"/>
  <c r="AB223" i="1" l="1"/>
  <c r="AA224" i="1"/>
  <c r="AC222" i="1"/>
  <c r="AG221" i="2"/>
  <c r="AH221" i="2"/>
  <c r="AI220" i="2"/>
  <c r="AA225" i="1" l="1"/>
  <c r="AC223" i="1"/>
  <c r="AB224" i="1"/>
  <c r="AH222" i="2"/>
  <c r="AI221" i="2"/>
  <c r="AG222" i="2"/>
  <c r="AC224" i="1" l="1"/>
  <c r="AB225" i="1"/>
  <c r="AA226" i="1"/>
  <c r="AI222" i="2"/>
  <c r="AG223" i="2"/>
  <c r="AH223" i="2"/>
  <c r="AB226" i="1" l="1"/>
  <c r="AA227" i="1"/>
  <c r="AC225" i="1"/>
  <c r="AG224" i="2"/>
  <c r="AH224" i="2"/>
  <c r="AI223" i="2"/>
  <c r="AA228" i="1" l="1"/>
  <c r="AC226" i="1"/>
  <c r="AB227" i="1"/>
  <c r="AH225" i="2"/>
  <c r="AI224" i="2"/>
  <c r="AG225" i="2"/>
  <c r="AC227" i="1" l="1"/>
  <c r="AB228" i="1"/>
  <c r="AA229" i="1"/>
  <c r="AI225" i="2"/>
  <c r="AG226" i="2"/>
  <c r="AH226" i="2"/>
  <c r="AC228" i="1" l="1"/>
  <c r="AA230" i="1"/>
  <c r="AB229" i="1"/>
  <c r="AG227" i="2"/>
  <c r="AH227" i="2"/>
  <c r="AI226" i="2"/>
  <c r="AB230" i="1" l="1"/>
  <c r="AC229" i="1"/>
  <c r="AA231" i="1"/>
  <c r="AH228" i="2"/>
  <c r="AI227" i="2"/>
  <c r="AG228" i="2"/>
  <c r="AA232" i="1" l="1"/>
  <c r="AC230" i="1"/>
  <c r="AB231" i="1"/>
  <c r="AI228" i="2"/>
  <c r="AG229" i="2"/>
  <c r="AH229" i="2"/>
  <c r="AB232" i="1" l="1"/>
  <c r="AA233" i="1"/>
  <c r="AC231" i="1"/>
  <c r="AG230" i="2"/>
  <c r="AH230" i="2"/>
  <c r="AI229" i="2"/>
  <c r="AB233" i="1" l="1"/>
  <c r="AA234" i="1"/>
  <c r="AC232" i="1"/>
  <c r="AH231" i="2"/>
  <c r="AI230" i="2"/>
  <c r="AG231" i="2"/>
  <c r="AC233" i="1" l="1"/>
  <c r="AB234" i="1"/>
  <c r="AA235" i="1"/>
  <c r="AI231" i="2"/>
  <c r="AG232" i="2"/>
  <c r="AH232" i="2"/>
  <c r="AA236" i="1" l="1"/>
  <c r="AC234" i="1"/>
  <c r="AB235" i="1"/>
  <c r="AG233" i="2"/>
  <c r="AH233" i="2"/>
  <c r="AI232" i="2"/>
  <c r="AA237" i="1" l="1"/>
  <c r="AC235" i="1"/>
  <c r="AB236" i="1"/>
  <c r="AH234" i="2"/>
  <c r="AI233" i="2"/>
  <c r="AG234" i="2"/>
  <c r="AC236" i="1" l="1"/>
  <c r="AB237" i="1"/>
  <c r="AA238" i="1"/>
  <c r="AI234" i="2"/>
  <c r="AG235" i="2"/>
  <c r="AH235" i="2"/>
  <c r="AB238" i="1" l="1"/>
  <c r="AA239" i="1"/>
  <c r="AC237" i="1"/>
  <c r="AG236" i="2"/>
  <c r="AH236" i="2"/>
  <c r="AI235" i="2"/>
  <c r="AA240" i="1" l="1"/>
  <c r="AC238" i="1"/>
  <c r="AB239" i="1"/>
  <c r="AH237" i="2"/>
  <c r="AI236" i="2"/>
  <c r="AG237" i="2"/>
  <c r="AB240" i="1" l="1"/>
  <c r="AA241" i="1"/>
  <c r="AC239" i="1"/>
  <c r="AI237" i="2"/>
  <c r="AG238" i="2"/>
  <c r="AH238" i="2"/>
  <c r="AA242" i="1" l="1"/>
  <c r="AC240" i="1"/>
  <c r="AB241" i="1"/>
  <c r="AG239" i="2"/>
  <c r="AH239" i="2"/>
  <c r="AI238" i="2"/>
  <c r="AC241" i="1" l="1"/>
  <c r="AB242" i="1"/>
  <c r="AA243" i="1"/>
  <c r="AH240" i="2"/>
  <c r="AI239" i="2"/>
  <c r="AG240" i="2"/>
  <c r="AB243" i="1" l="1"/>
  <c r="AA244" i="1"/>
  <c r="AC242" i="1"/>
  <c r="AI240" i="2"/>
  <c r="AG241" i="2"/>
  <c r="AH241" i="2"/>
  <c r="AA245" i="1" l="1"/>
  <c r="AC243" i="1"/>
  <c r="AB244" i="1"/>
  <c r="AG242" i="2"/>
  <c r="AH242" i="2"/>
  <c r="AI241" i="2"/>
  <c r="AC244" i="1" l="1"/>
  <c r="AB245" i="1"/>
  <c r="AA246" i="1"/>
  <c r="AH243" i="2"/>
  <c r="AI242" i="2"/>
  <c r="AG243" i="2"/>
  <c r="AB246" i="1" l="1"/>
  <c r="AA247" i="1"/>
  <c r="AC245" i="1"/>
  <c r="AI243" i="2"/>
  <c r="AG244" i="2"/>
  <c r="AH244" i="2"/>
  <c r="AA248" i="1" l="1"/>
  <c r="AC246" i="1"/>
  <c r="AB247" i="1"/>
  <c r="AG245" i="2"/>
  <c r="AH245" i="2"/>
  <c r="AI244" i="2"/>
  <c r="AC247" i="1" l="1"/>
  <c r="AB248" i="1"/>
  <c r="AA249" i="1"/>
  <c r="AH246" i="2"/>
  <c r="AI245" i="2"/>
  <c r="AG246" i="2"/>
  <c r="AB249" i="1" l="1"/>
  <c r="AA250" i="1"/>
  <c r="AC248" i="1"/>
  <c r="AI246" i="2"/>
  <c r="AG247" i="2"/>
  <c r="AH247" i="2"/>
  <c r="AA251" i="1" l="1"/>
  <c r="AC249" i="1"/>
  <c r="AB250" i="1"/>
  <c r="AG248" i="2"/>
  <c r="AH248" i="2"/>
  <c r="AI247" i="2"/>
  <c r="AC250" i="1" l="1"/>
  <c r="AB251" i="1"/>
  <c r="AA252" i="1"/>
  <c r="AH249" i="2"/>
  <c r="AI248" i="2"/>
  <c r="AG249" i="2"/>
  <c r="AB252" i="1" l="1"/>
  <c r="AA253" i="1"/>
  <c r="AC251" i="1"/>
  <c r="AI249" i="2"/>
  <c r="AG250" i="2"/>
  <c r="AH250" i="2"/>
  <c r="AA254" i="1" l="1"/>
  <c r="AC252" i="1"/>
  <c r="AB253" i="1"/>
  <c r="AG251" i="2"/>
  <c r="AH251" i="2"/>
  <c r="AI250" i="2"/>
  <c r="AC253" i="1" l="1"/>
  <c r="AB254" i="1"/>
  <c r="AA255" i="1"/>
  <c r="AH252" i="2"/>
  <c r="AI251" i="2"/>
  <c r="AG252" i="2"/>
  <c r="AB255" i="1" l="1"/>
  <c r="AA256" i="1"/>
  <c r="AC254" i="1"/>
  <c r="AI252" i="2"/>
  <c r="AG253" i="2"/>
  <c r="AH253" i="2"/>
  <c r="AA257" i="1" l="1"/>
  <c r="AC255" i="1"/>
  <c r="AB256" i="1"/>
  <c r="AG254" i="2"/>
  <c r="AH254" i="2"/>
  <c r="AI253" i="2"/>
  <c r="AB257" i="1" l="1"/>
  <c r="AC256" i="1"/>
  <c r="AA258" i="1"/>
  <c r="AH255" i="2"/>
  <c r="AI254" i="2"/>
  <c r="AG255" i="2"/>
  <c r="AC257" i="1" l="1"/>
  <c r="AA259" i="1"/>
  <c r="AB258" i="1"/>
  <c r="AI255" i="2"/>
  <c r="AG256" i="2"/>
  <c r="AH256" i="2"/>
  <c r="AA260" i="1" l="1"/>
  <c r="AB259" i="1"/>
  <c r="AC258" i="1"/>
  <c r="AG257" i="2"/>
  <c r="AH257" i="2"/>
  <c r="AI256" i="2"/>
  <c r="AB260" i="1" l="1"/>
  <c r="AC259" i="1"/>
  <c r="AA261" i="1"/>
  <c r="AH258" i="2"/>
  <c r="AI257" i="2"/>
  <c r="AG258" i="2"/>
  <c r="AB261" i="1" l="1"/>
  <c r="AA262" i="1"/>
  <c r="AC260" i="1"/>
  <c r="AI258" i="2"/>
  <c r="AG259" i="2"/>
  <c r="AH259" i="2"/>
  <c r="AC261" i="1" l="1"/>
  <c r="AB262" i="1"/>
  <c r="AG260" i="2"/>
  <c r="AH260" i="2"/>
  <c r="AI259" i="2"/>
  <c r="AC262" i="1" l="1"/>
  <c r="AH261" i="2"/>
  <c r="AI260" i="2"/>
  <c r="AG261" i="2"/>
  <c r="AI261" i="2" l="1"/>
  <c r="AG262" i="2"/>
  <c r="AH262" i="2"/>
  <c r="AI262" i="2" l="1"/>
</calcChain>
</file>

<file path=xl/sharedStrings.xml><?xml version="1.0" encoding="utf-8"?>
<sst xmlns="http://schemas.openxmlformats.org/spreadsheetml/2006/main" count="1332" uniqueCount="369">
  <si>
    <t>Year</t>
  </si>
  <si>
    <t>2023/24</t>
  </si>
  <si>
    <t>Week</t>
  </si>
  <si>
    <t>Week Number</t>
  </si>
  <si>
    <t>29 Apr - 05 May/Mei 2023</t>
  </si>
  <si>
    <t>06 May/Mei - 12 May/Mei 2023</t>
  </si>
  <si>
    <t>13 May/Mei - 19 May/Mei 2023</t>
  </si>
  <si>
    <t>20 May/Mei - 26 May/Mei 2023</t>
  </si>
  <si>
    <t>27 May/Mei - 02 Jun 2023</t>
  </si>
  <si>
    <t>03 Jun - 09 Jun 2023</t>
  </si>
  <si>
    <t>10 Jun - 16 Jun 2023</t>
  </si>
  <si>
    <t>17 Jun - 23 Jun 2023</t>
  </si>
  <si>
    <t>24 Jun - 30 Jun 2023</t>
  </si>
  <si>
    <t>01 Jul - 07 Jul 2023</t>
  </si>
  <si>
    <t>08 Jul - 14 Jul 2023</t>
  </si>
  <si>
    <t>15 Jul - 21 Jul 2023</t>
  </si>
  <si>
    <t>22 Jul - 28 Jul 2023</t>
  </si>
  <si>
    <t>29 Jul - 04 Aug 2023</t>
  </si>
  <si>
    <t>05 Aug - 11 Aug 2023</t>
  </si>
  <si>
    <t>12 Aug - 18 Aug 2023</t>
  </si>
  <si>
    <t>19 Aug - 25 Aug 2023</t>
  </si>
  <si>
    <t>26 Aug - 01 Sep 2023</t>
  </si>
  <si>
    <t>02 Sep - 08 Sep 2023</t>
  </si>
  <si>
    <t>09 Sep - 15 Sep 2023</t>
  </si>
  <si>
    <t>16 Sep - 22 Sep 2023</t>
  </si>
  <si>
    <t>23 Sep - 29 Sep 2023</t>
  </si>
  <si>
    <t>30 Sep - 06 Oct/Okt 2023</t>
  </si>
  <si>
    <t>07 Oct/Okt - 13 Oct/Okt 2023</t>
  </si>
  <si>
    <t>14 Oct/Okt - 20 Oct/Okt 2023</t>
  </si>
  <si>
    <t>21 Oct/Okt - 27 Oct/Okt 2023</t>
  </si>
  <si>
    <t>28 Oct/Okt - 03 Nov 2023</t>
  </si>
  <si>
    <t>04 Nov - 10 Nov 2023</t>
  </si>
  <si>
    <t>11 Nov - 17 Nov 2023</t>
  </si>
  <si>
    <t>18 Nov - 24 Nov 2023</t>
  </si>
  <si>
    <t>25 Nov - 01 Dec/Des 2023</t>
  </si>
  <si>
    <t>02 Dec/Des - 08 Dec/Des 2023</t>
  </si>
  <si>
    <t>09 Dec/Des - 15 Dec/Des 2023</t>
  </si>
  <si>
    <t>16 Dec/Des - 22 Dec/Des 2023</t>
  </si>
  <si>
    <t>23 Dec/Des - 29 Dec/Des 2023</t>
  </si>
  <si>
    <t>30 Dec/Des - 05 Jan 2024</t>
  </si>
  <si>
    <t>06 Jan - 12 Jan 2024</t>
  </si>
  <si>
    <t>13 Jan - 19 Jan 2024</t>
  </si>
  <si>
    <t>20 Jan - 26 Jan 2024</t>
  </si>
  <si>
    <t>27 Jan - 02 Feb 2024</t>
  </si>
  <si>
    <t>03 Feb - 09 Feb 2024</t>
  </si>
  <si>
    <t>10 Feb - 16 Feb 2024</t>
  </si>
  <si>
    <t>17 Feb - 23 Feb 2024</t>
  </si>
  <si>
    <t>24 Feb - 01 Mar 2024</t>
  </si>
  <si>
    <t>02 Mar - 08 Mar 2024</t>
  </si>
  <si>
    <t>09 Mar - 15 Mar 2024</t>
  </si>
  <si>
    <t>16 Mar - 22 Mar 2024</t>
  </si>
  <si>
    <t>23 Mar - 29 Mar 2024</t>
  </si>
  <si>
    <t>30 Mar - 05 Apr 2024</t>
  </si>
  <si>
    <t>06 Apr - 12 Apr 2024</t>
  </si>
  <si>
    <t>13 Apr - 19 Apr 2024</t>
  </si>
  <si>
    <t>20 Apr - 26 Apr 2024</t>
  </si>
  <si>
    <t>LESOTHO</t>
  </si>
  <si>
    <t>MALAWI</t>
  </si>
  <si>
    <t>MOZAMBIQUE</t>
  </si>
  <si>
    <t>NAMIBIA</t>
  </si>
  <si>
    <t>SAUDI ARABIA</t>
  </si>
  <si>
    <t>TAIWAN, PROV OF CHINA</t>
  </si>
  <si>
    <t>VIETNAM</t>
  </si>
  <si>
    <t>ZAMBIA</t>
  </si>
  <si>
    <t>ZIMBABWE</t>
  </si>
  <si>
    <t>2024/25</t>
  </si>
  <si>
    <t>27 Apr - 03 May/Mei 2024</t>
  </si>
  <si>
    <t>04 May/Mei - 10 May/Mei 2024</t>
  </si>
  <si>
    <t>11 May/Mei - 17 May/Mei 2024</t>
  </si>
  <si>
    <t>18 May/Mei - 24 May/Mei 2024</t>
  </si>
  <si>
    <t>25 May/Mei - 31 May/Mei 2024</t>
  </si>
  <si>
    <t>01 Jun - 07 Jun 2024</t>
  </si>
  <si>
    <t>08 Jun - 14 Jun 2024</t>
  </si>
  <si>
    <t>15 Jun - 21 Jun 2024</t>
  </si>
  <si>
    <t>22 Jun - 28 Jun 2024</t>
  </si>
  <si>
    <t>29 Jun - 05 Jul 2024</t>
  </si>
  <si>
    <t>06 Jul - 12 Jul 2024</t>
  </si>
  <si>
    <t>13 Jul - 19 Jul 2024</t>
  </si>
  <si>
    <t>20 Jul - 26 Jul 2024</t>
  </si>
  <si>
    <t>27 Jul - 02 Aug 2024</t>
  </si>
  <si>
    <t>03 Aug - 09 Aug 2024</t>
  </si>
  <si>
    <t>10 Aug - 16 Aug 2024</t>
  </si>
  <si>
    <t>17 Aug - 23 Aug 2024</t>
  </si>
  <si>
    <t>24 Aug - 30 Aug 2024</t>
  </si>
  <si>
    <t>31 Aug - 06 Sep 2024</t>
  </si>
  <si>
    <t>07 Sep - 13 Sep 2024</t>
  </si>
  <si>
    <t>14 Sep - 20 Sep 2024</t>
  </si>
  <si>
    <t>21 Sep - 27 Sep 2024</t>
  </si>
  <si>
    <t>28 Sep - 04 Oct/Okt 2024</t>
  </si>
  <si>
    <t>05 Oct/Okt - 11 Oct/Okt 2024</t>
  </si>
  <si>
    <t>12 Oct/Okt - 18 Oct/Okt 2024</t>
  </si>
  <si>
    <t>19 Oct/Okt - 25 Oct/Okt 2024</t>
  </si>
  <si>
    <t>26 Oct/Okt - 01 Nov 2024</t>
  </si>
  <si>
    <t>02 Nov - 08 Nov 2024</t>
  </si>
  <si>
    <t>09 Nov - 15 Nov 2024</t>
  </si>
  <si>
    <t>16 Nov - 22 Nov 2024</t>
  </si>
  <si>
    <t>23 Nov - 29 Nov 2024</t>
  </si>
  <si>
    <t>30 Nov - 06 Dec/Des 2024</t>
  </si>
  <si>
    <t>07 Dec/Des - 13 Dec/Des 2024</t>
  </si>
  <si>
    <t>14 Dec/Des - 20 Dec/Des 2024</t>
  </si>
  <si>
    <t>21 Dec/Des - 27 Dec/Des 2024</t>
  </si>
  <si>
    <t>28 Dec/Des - 03 Jan 2025</t>
  </si>
  <si>
    <t>04 Jan - 10 Jan 2025</t>
  </si>
  <si>
    <t>11 Jan - 17 Jan 2025</t>
  </si>
  <si>
    <t>18 Jan - 24 Jan 2025</t>
  </si>
  <si>
    <t>25 Jan - 31 Jan 2025</t>
  </si>
  <si>
    <t>01 Feb - 07 Feb 2025</t>
  </si>
  <si>
    <t>08 Feb - 14 Feb 2025</t>
  </si>
  <si>
    <t>15 Feb - 21 Feb 2025</t>
  </si>
  <si>
    <t>22 Feb - 28 Feb 2025</t>
  </si>
  <si>
    <t>01 Mar - 07 Mar 2025</t>
  </si>
  <si>
    <t>08 Mar - 14 Mar 2025</t>
  </si>
  <si>
    <t>15 Mar - 21 Mar 2025</t>
  </si>
  <si>
    <t>22 Mar - 28 Mar 2025</t>
  </si>
  <si>
    <t>29 Mar - 04 Apr 2025</t>
  </si>
  <si>
    <t>05 Apr - 11 Apr 2025</t>
  </si>
  <si>
    <t>12 Apr - 18 Apr 2025</t>
  </si>
  <si>
    <t>19 Apr - 25 Apr 2025</t>
  </si>
  <si>
    <t>BOTSWANA</t>
  </si>
  <si>
    <t>ESWATINI (SWAZILAND)</t>
  </si>
  <si>
    <t>MADAGASCAR</t>
  </si>
  <si>
    <t>30 Apr - 06 May/Mei 2022</t>
  </si>
  <si>
    <t>07 May/Mei - 13 May/Mei 2022</t>
  </si>
  <si>
    <t>14 May/Mei - 20 May/Mei 2022</t>
  </si>
  <si>
    <t>21 May/Mei - 27 May/Mei 2022</t>
  </si>
  <si>
    <t>28 May/Mei - 03 Jun 2022</t>
  </si>
  <si>
    <t>04 Jun - 10 Jun 2022</t>
  </si>
  <si>
    <t>11 Jun - 17 Jun 2022</t>
  </si>
  <si>
    <t>18 Jun - 24 Jun 2022</t>
  </si>
  <si>
    <t>25 Jun - 01 Jul 2022</t>
  </si>
  <si>
    <t>02 Jul - 08 Jul 2022</t>
  </si>
  <si>
    <t>09 Jul - 15 Jul 2022</t>
  </si>
  <si>
    <t>16 Jul - 22 Jul 2022</t>
  </si>
  <si>
    <t>23 Jul - 29 Jul 2022</t>
  </si>
  <si>
    <t>30 Jul - 05 Aug 2022</t>
  </si>
  <si>
    <t>06 Aug - 12 Aug 2022</t>
  </si>
  <si>
    <t>13 Aug - 19 Aug 2022</t>
  </si>
  <si>
    <t>20 Aug - 26 Aug 2022</t>
  </si>
  <si>
    <t>27 Aug - 02 Sep 2022</t>
  </si>
  <si>
    <t>03 Sep - 09 Sep 2022</t>
  </si>
  <si>
    <t>10 Sep - 16 Sep 2022</t>
  </si>
  <si>
    <t>17 Sep - 23 Sep 2022</t>
  </si>
  <si>
    <t>24 Sep - 30 Sep 2022</t>
  </si>
  <si>
    <t>01 Oct/Okt - 07 Oct/Okt 2022</t>
  </si>
  <si>
    <t>08 Oct/Okt - 14 Oct/Okt 2022</t>
  </si>
  <si>
    <t>15 Oct/Okt - 21 Oct/Okt 2022</t>
  </si>
  <si>
    <t>22 Oct/Okt - 28 Oct/Okt 2022</t>
  </si>
  <si>
    <t>29 Oct/Okt - 04 Nov 2022</t>
  </si>
  <si>
    <t>05 Nov - 11 Nov 2022</t>
  </si>
  <si>
    <t>12 Nov - 18 Nov 2022</t>
  </si>
  <si>
    <t>19 Nov - 25 Nov 2022</t>
  </si>
  <si>
    <t>26 Nov - 02 Dec/Des 2022</t>
  </si>
  <si>
    <t>03 Dec/Des - 09 Dec/Des 2022</t>
  </si>
  <si>
    <t>10 Dec/Des - 16 Dec/Des 2022</t>
  </si>
  <si>
    <t>17 Dec/Des - 23 Dec/Des 2022</t>
  </si>
  <si>
    <t>24 Dec/Des - 30 Dec/Des 2022</t>
  </si>
  <si>
    <t>31 Dec/Des - 06 Jan 2023</t>
  </si>
  <si>
    <t>07 Jan - 13 Jan 2023</t>
  </si>
  <si>
    <t>14 Jan - 20 Jan 2023</t>
  </si>
  <si>
    <t>21 Jan - 27 Jan 2023</t>
  </si>
  <si>
    <t>28 Jan - 03 Feb 2023</t>
  </si>
  <si>
    <t>04 Feb - 10 Feb 2023</t>
  </si>
  <si>
    <t>11 Feb - 17 Feb 2023</t>
  </si>
  <si>
    <t>18 Feb - 24 Feb 2023</t>
  </si>
  <si>
    <t>25 Feb - 03 Mar 2023</t>
  </si>
  <si>
    <t>04 Mar - 10 Mar 2023</t>
  </si>
  <si>
    <t>11 Mar - 17 Mar 2023</t>
  </si>
  <si>
    <t>18 Mar - 24 Mar 2023</t>
  </si>
  <si>
    <t>25 Mar - 31 Mar 2023</t>
  </si>
  <si>
    <t>01 Apr - 07 Apr 2023</t>
  </si>
  <si>
    <t>08 Apr - 14 Apr 2023</t>
  </si>
  <si>
    <t>15 Apr - 21 Apr 2023</t>
  </si>
  <si>
    <t>22 Apr - 28 Apr 2023</t>
  </si>
  <si>
    <t>2022/23</t>
  </si>
  <si>
    <t>CHINA</t>
  </si>
  <si>
    <t>ITALY</t>
  </si>
  <si>
    <t>JAPAN</t>
  </si>
  <si>
    <t>KOREA, REP OF</t>
  </si>
  <si>
    <t>SEYCHELLES</t>
  </si>
  <si>
    <t>2021/22</t>
  </si>
  <si>
    <t>01 May/Mei - 07 May/Mei 2021</t>
  </si>
  <si>
    <t>08 May/Mei - 14 May/Mei 2021</t>
  </si>
  <si>
    <t>15 May/Mei - 21 May/Mei 2021</t>
  </si>
  <si>
    <t>22 May/Mei - 28 May/Mei 2021</t>
  </si>
  <si>
    <t>29 May/Mei - 04 Jun 2021</t>
  </si>
  <si>
    <t>05 Jun - 11 Jun 2021</t>
  </si>
  <si>
    <t>12 Jun - 18 Jun 2021</t>
  </si>
  <si>
    <t>19 Jun - 25 Jun 2021</t>
  </si>
  <si>
    <t>26 Jun - 02 Jul 2021</t>
  </si>
  <si>
    <t>03 Jul - 09 Jul 2021</t>
  </si>
  <si>
    <t>10 Jul - 16 Jul 2021</t>
  </si>
  <si>
    <t>17 Jul - 23 Jul 2021</t>
  </si>
  <si>
    <t>24 Jul - 30 Jul 2021</t>
  </si>
  <si>
    <t>31 Jul - 06 Aug 2021</t>
  </si>
  <si>
    <t>07 Aug - 13 Aug 2021</t>
  </si>
  <si>
    <t>14 Aug - 20 Aug 2021</t>
  </si>
  <si>
    <t>21 Aug - 27 Aug 2021</t>
  </si>
  <si>
    <t>28 Aug - 03 Sep 2021</t>
  </si>
  <si>
    <t>04 Sep - 10 Sep 2021</t>
  </si>
  <si>
    <t>11 Sep - 17 Sep 2021</t>
  </si>
  <si>
    <t>18 Sep - 24 Sep 2021</t>
  </si>
  <si>
    <t>25 Sep - 01 Oct/Okt 2021</t>
  </si>
  <si>
    <t>02 Oct/Okt - 08 Oct/Okt 2021</t>
  </si>
  <si>
    <t>09 Oct/Okt - 15 Oct/Okt 2021</t>
  </si>
  <si>
    <t>16 Oct/Okt - 22 Oct/Okt 2021</t>
  </si>
  <si>
    <t>23 Oct/Okt - 29 Oct/Okt 2021</t>
  </si>
  <si>
    <t>30 Oct/Okt - 05 Nov 2021</t>
  </si>
  <si>
    <t>06 Nov - 12 Nov 2021</t>
  </si>
  <si>
    <t>13 Nov - 19 Nov 2021</t>
  </si>
  <si>
    <t>20 Nov - 26 Nov 2021</t>
  </si>
  <si>
    <t>27 Nov - 03 Dec/Des 2021</t>
  </si>
  <si>
    <t>04 Dec/Des - 10 Dec/Des 2021</t>
  </si>
  <si>
    <t>11 Dec/Des - 17 Dec/Des 2021</t>
  </si>
  <si>
    <t>18 Dec/Des - 24 Dec/Des 2021</t>
  </si>
  <si>
    <t>25 Dec/Des - 31 Dec/Des 2021</t>
  </si>
  <si>
    <t>01 Jan - 07 Jan 2022</t>
  </si>
  <si>
    <t>08 Jan - 14 Jan 2022</t>
  </si>
  <si>
    <t>15 Jan - 21 Jan 2022</t>
  </si>
  <si>
    <t>22 Jan - 28 Jan 2022</t>
  </si>
  <si>
    <t>29 Jan - 04 Feb 2022</t>
  </si>
  <si>
    <t>05 Feb - 11 Feb 2022</t>
  </si>
  <si>
    <t>12 Feb - 18 Feb 2022</t>
  </si>
  <si>
    <t>19 Feb - 25 Feb 2022</t>
  </si>
  <si>
    <t>26 Feb - 04 Mar 2022</t>
  </si>
  <si>
    <t>05 Mar - 11 Mar 2022</t>
  </si>
  <si>
    <t>12 Mar - 18 Mar 2022</t>
  </si>
  <si>
    <t>19 Mar - 25 Mar 2022</t>
  </si>
  <si>
    <t>26 Mar - 01 Apr 2022</t>
  </si>
  <si>
    <t>02 Apr - 08 Apr 2022</t>
  </si>
  <si>
    <t>09 Apr - 15 Apr 2022</t>
  </si>
  <si>
    <t>16 Apr - 22 Apr 2022</t>
  </si>
  <si>
    <t>23 Apr - 29 Apr 2022</t>
  </si>
  <si>
    <t>ANGO LA</t>
  </si>
  <si>
    <t>GHANA</t>
  </si>
  <si>
    <t>NEW ZEALAND</t>
  </si>
  <si>
    <t>SPAIN</t>
  </si>
  <si>
    <t>25 Apr - 01 May/Mei 2020</t>
  </si>
  <si>
    <t>02 May/Mei - 08 May/Mei 2020</t>
  </si>
  <si>
    <t>09 May/Mei - 15 May/Mei 2020</t>
  </si>
  <si>
    <t>16 May/Mei - 22 May/Mei 2020</t>
  </si>
  <si>
    <t>23 May/Mei - 29 May/Mei 2020</t>
  </si>
  <si>
    <t>30 May/Mei - 05 Jun 2020</t>
  </si>
  <si>
    <t>06 Jun - 12 Jun 2020</t>
  </si>
  <si>
    <t>13 Jun - 19 Jun 2020</t>
  </si>
  <si>
    <t>20 Jun - 26 Jun 2020</t>
  </si>
  <si>
    <t>27 Jun - 03 Jul 2020</t>
  </si>
  <si>
    <t>04 Jul - 10 Jul 2020</t>
  </si>
  <si>
    <t>11 Jul - 17 Jul 2020</t>
  </si>
  <si>
    <t>18 Jul - 24 Jul 2020</t>
  </si>
  <si>
    <t>25 Jul - 31 Jul 2020</t>
  </si>
  <si>
    <t>01 Aug - 07 Aug 2020</t>
  </si>
  <si>
    <t>08 Aug - 14 Aug 2020</t>
  </si>
  <si>
    <t>15 Aug - 21 Aug 2020</t>
  </si>
  <si>
    <t>22 Aug - 28 Aug 2020</t>
  </si>
  <si>
    <t>29 Aug - 04 Sep 2020</t>
  </si>
  <si>
    <t>05 Sep - 11 Sep 2020</t>
  </si>
  <si>
    <t>12 Sep - 18 Sep 2020</t>
  </si>
  <si>
    <t>19 Sep - 25 Sep 2020</t>
  </si>
  <si>
    <t>26 Sep - 02 Oct/Okt 2020</t>
  </si>
  <si>
    <t>03 Oct/Okt - 09 Oct/Okt 2020</t>
  </si>
  <si>
    <t>10 Oct/Okt - 16 Oct/Okt 2020</t>
  </si>
  <si>
    <t>17 Oct/Okt - 23 Oct/Okt 2020</t>
  </si>
  <si>
    <t>24 Oct/Okt - 30 Oct/Okt 2020</t>
  </si>
  <si>
    <t>31 Oct/Okt - 06 Nov 2020</t>
  </si>
  <si>
    <t>07 Nov - 13 Nov 2020</t>
  </si>
  <si>
    <t>14 Nov - 20 Nov 2020</t>
  </si>
  <si>
    <t>21 Nov - 27 Nov 2020</t>
  </si>
  <si>
    <t>28 Nov - 04 Dec/Des 2020</t>
  </si>
  <si>
    <t>05 Dec/Des - 11 Dec/Des 2020</t>
  </si>
  <si>
    <t>12 Dec/Des - 18 Dec/Des 2020</t>
  </si>
  <si>
    <t>19 Dec/Des - 25 Dec/Des 2020</t>
  </si>
  <si>
    <t>26 Dec/Des - 01 Jan 2021</t>
  </si>
  <si>
    <t>02 Jan - 08 Jan 2021</t>
  </si>
  <si>
    <t>09 Jan - 15 Jan 2021</t>
  </si>
  <si>
    <t>16 Jan - 22 Jan 2021</t>
  </si>
  <si>
    <t>23 Jan - 29 Jan 2021</t>
  </si>
  <si>
    <t>30 Jan - 05 Feb 2021</t>
  </si>
  <si>
    <t>06 Feb - 12 Feb 2021</t>
  </si>
  <si>
    <t>13 Feb - 19 Feb 2021</t>
  </si>
  <si>
    <t>20 Feb - 26 Feb 2021</t>
  </si>
  <si>
    <t>27 Feb - 05 Mar 2021</t>
  </si>
  <si>
    <t>06 Mar - 12 Mar 2021</t>
  </si>
  <si>
    <t>13 Mar - 19 Mar 2021</t>
  </si>
  <si>
    <t>20 Mar - 26 Mar 2021</t>
  </si>
  <si>
    <t>27 Mar - 02 Apr 2021</t>
  </si>
  <si>
    <t>03 Apr - 09 Apr 2021</t>
  </si>
  <si>
    <t>10 Apr - 16 Apr 2021</t>
  </si>
  <si>
    <t>17 Apr - 23 Apr 2021</t>
  </si>
  <si>
    <t>24 Apr - 30 Apr 2021</t>
  </si>
  <si>
    <t>2020/21</t>
  </si>
  <si>
    <t>PALAU</t>
  </si>
  <si>
    <t>BNLS + Moz</t>
  </si>
  <si>
    <t xml:space="preserve">Other </t>
  </si>
  <si>
    <t>Deapsea</t>
  </si>
  <si>
    <t>BNLS + Moz Cumulative</t>
  </si>
  <si>
    <t>Other Cumulative</t>
  </si>
  <si>
    <t>Deapsea Cumulative</t>
  </si>
  <si>
    <t>2025/26</t>
  </si>
  <si>
    <t>26 Apr - 02 May/Mei 2025</t>
  </si>
  <si>
    <t>03 May/Mei - 09 May/Mei 2025</t>
  </si>
  <si>
    <t>10 May/Mei - 16 May/Mei 2025</t>
  </si>
  <si>
    <t>17 May/Mei - 23 May/Mei 2025</t>
  </si>
  <si>
    <t>24 May/Mei - 30 May/Mei 2025</t>
  </si>
  <si>
    <t>31 May/Mei - 06 Jun 2025</t>
  </si>
  <si>
    <t>07 Jun - 13 Jun 2025</t>
  </si>
  <si>
    <t>14 Jun - 20 Jun 2025</t>
  </si>
  <si>
    <t>21 Jun - 27 Jun 2025</t>
  </si>
  <si>
    <t>28 Jun - 04 Jul 2025</t>
  </si>
  <si>
    <t>05 Jul - 11 Jul 2025</t>
  </si>
  <si>
    <t>12 Jul - 18 Jul 2025</t>
  </si>
  <si>
    <t>19 Jul - 25 Jul 2025</t>
  </si>
  <si>
    <t>26 Jul - 01 Aug 2025</t>
  </si>
  <si>
    <t>02 Aug - 08 Aug 2025</t>
  </si>
  <si>
    <t>09 Aug - 15 Aug 2025</t>
  </si>
  <si>
    <t>16 Aug - 22 Aug 2025</t>
  </si>
  <si>
    <t>23 Aug - 29 Aug 2025</t>
  </si>
  <si>
    <t>30 Aug - 05 Sep 2025</t>
  </si>
  <si>
    <t>06 Sep - 12 Sep 2025</t>
  </si>
  <si>
    <t>13 Sep - 19 Sep 2025</t>
  </si>
  <si>
    <t>20 Sep - 26 Sep 2025</t>
  </si>
  <si>
    <t>27 Sep - 03 Oct/Okt 2025</t>
  </si>
  <si>
    <t>04 Oct/Okt - 10 Oct/Okt 2025</t>
  </si>
  <si>
    <t>11 Oct/Okt - 17 Oct/Okt 2025</t>
  </si>
  <si>
    <t>18 Oct/Okt - 24 Oct/Okt 2025</t>
  </si>
  <si>
    <t>25 Oct/Okt - 31 Oct/Okt 2025</t>
  </si>
  <si>
    <t>01 Nov - 07 Nov 2025</t>
  </si>
  <si>
    <t>08 Nov - 14 Nov 2025</t>
  </si>
  <si>
    <t>15 Nov - 21 Nov 2025</t>
  </si>
  <si>
    <t>22 Nov - 28 Nov 2025</t>
  </si>
  <si>
    <t>29 Nov - 05 Dec/Des 2025</t>
  </si>
  <si>
    <t>06 Dec/Des - 12 Dec/Des 2025</t>
  </si>
  <si>
    <t>13 Dec/Des - 19 Dec/Des 2025</t>
  </si>
  <si>
    <t>20 Dec/Des - 26 Dec/Des 2025</t>
  </si>
  <si>
    <t>27 Dec/Des - 02 Jan 2026</t>
  </si>
  <si>
    <t>03 Jan - 09 Jan 2026</t>
  </si>
  <si>
    <t>10 Jan - 16 Jan 2026</t>
  </si>
  <si>
    <t>17 Jan - 23 Jan 2026</t>
  </si>
  <si>
    <t>24 Jan - 30 Jan 2026</t>
  </si>
  <si>
    <t>31 Jan - 06 Feb 2026</t>
  </si>
  <si>
    <t>07 Feb - 13 Feb 2026</t>
  </si>
  <si>
    <t>14 Feb - 20 Feb 2026</t>
  </si>
  <si>
    <t>21 Feb - 27 Feb 2026</t>
  </si>
  <si>
    <t>28 Feb - 06 Mar 2026</t>
  </si>
  <si>
    <t>07 Mar - 13 Mar 2026</t>
  </si>
  <si>
    <t>14 Mar - 20 Mar 2026</t>
  </si>
  <si>
    <t>21 Mar - 27 Mar 2026</t>
  </si>
  <si>
    <t>28 Mar - 03 Apr 2026</t>
  </si>
  <si>
    <t>04 Apr - 10 Apr 2026</t>
  </si>
  <si>
    <t>FRANCE</t>
  </si>
  <si>
    <t>MAURITIUS</t>
  </si>
  <si>
    <t>SRI LANKA</t>
  </si>
  <si>
    <t>VENEZUELA</t>
  </si>
  <si>
    <t>11 Apr - 17 Apr 2026</t>
  </si>
  <si>
    <t>ANGOLA</t>
  </si>
  <si>
    <t>GUATEMALA</t>
  </si>
  <si>
    <t>KENYA</t>
  </si>
  <si>
    <t>ALBANIA</t>
  </si>
  <si>
    <t>HONDURAS</t>
  </si>
  <si>
    <t>MEXICO</t>
  </si>
  <si>
    <t>PORTUGAL</t>
  </si>
  <si>
    <t>ETHIOPIA</t>
  </si>
  <si>
    <t>Nr</t>
  </si>
  <si>
    <t>2026/27</t>
  </si>
  <si>
    <t>18 Apr - 24 Apr 2026</t>
  </si>
  <si>
    <t>25 Apr - 01 May/Mei 2026</t>
  </si>
  <si>
    <t>02 May - 08 May 2026</t>
  </si>
  <si>
    <t>09 May - 15 May 2026</t>
  </si>
  <si>
    <t>16 May/ - 22 May 2026</t>
  </si>
  <si>
    <t>3 May - 08 May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</si>
</sst>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8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3" fontId="3" fillId="0" borderId="3" xfId="0" applyNumberFormat="1" applyFont="1" applyBorder="1" applyAlignment="1">
      <alignment horizontal="right"/>
    </xf>
    <xf numFmtId="0" fontId="1" fillId="0" borderId="2" xfId="0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right"/>
    </xf>
    <xf numFmtId="0" fontId="2" fillId="0" borderId="4" xfId="0" applyFont="1" applyBorder="1" applyAlignment="1">
      <alignment horizontal="center"/>
    </xf>
    <xf numFmtId="3" fontId="3" fillId="0" borderId="2" xfId="0" applyNumberFormat="1" applyFont="1" applyBorder="1" applyAlignment="1">
      <alignment horizontal="right"/>
    </xf>
    <xf numFmtId="3" fontId="3" fillId="0" borderId="7" xfId="0" applyNumberFormat="1" applyFont="1" applyBorder="1" applyAlignment="1">
      <alignment horizontal="right"/>
    </xf>
    <xf numFmtId="3" fontId="3" fillId="0" borderId="8" xfId="0" applyNumberFormat="1" applyFont="1" applyBorder="1" applyAlignment="1">
      <alignment horizontal="right"/>
    </xf>
    <xf numFmtId="3" fontId="3" fillId="0" borderId="4" xfId="0" applyNumberFormat="1" applyFont="1" applyBorder="1" applyAlignment="1">
      <alignment horizontal="right"/>
    </xf>
    <xf numFmtId="3" fontId="0" fillId="0" borderId="2" xfId="0" applyNumberFormat="1" applyBorder="1"/>
    <xf numFmtId="0" fontId="2" fillId="0" borderId="2" xfId="0" applyFont="1" applyBorder="1" applyAlignment="1">
      <alignment horizontal="center"/>
    </xf>
    <xf numFmtId="3" fontId="2" fillId="0" borderId="4" xfId="0" applyNumberFormat="1" applyFont="1" applyBorder="1" applyAlignment="1">
      <alignment horizontal="right"/>
    </xf>
    <xf numFmtId="0" fontId="1" fillId="2" borderId="2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right"/>
    </xf>
    <xf numFmtId="3" fontId="3" fillId="2" borderId="1" xfId="0" applyNumberFormat="1" applyFont="1" applyFill="1" applyBorder="1" applyAlignment="1">
      <alignment horizontal="right"/>
    </xf>
    <xf numFmtId="3" fontId="0" fillId="2" borderId="2" xfId="0" applyNumberFormat="1" applyFill="1" applyBorder="1"/>
    <xf numFmtId="0" fontId="0" fillId="2" borderId="0" xfId="0" applyFill="1"/>
    <xf numFmtId="3" fontId="2" fillId="2" borderId="2" xfId="0" applyNumberFormat="1" applyFont="1" applyFill="1" applyBorder="1" applyAlignment="1">
      <alignment horizontal="right"/>
    </xf>
    <xf numFmtId="3" fontId="3" fillId="2" borderId="2" xfId="0" applyNumberFormat="1" applyFont="1" applyFill="1" applyBorder="1" applyAlignment="1">
      <alignment horizontal="right"/>
    </xf>
    <xf numFmtId="3" fontId="3" fillId="2" borderId="3" xfId="0" applyNumberFormat="1" applyFont="1" applyFill="1" applyBorder="1" applyAlignment="1">
      <alignment horizontal="right"/>
    </xf>
    <xf numFmtId="3" fontId="3" fillId="2" borderId="5" xfId="0" applyNumberFormat="1" applyFont="1" applyFill="1" applyBorder="1" applyAlignment="1">
      <alignment horizontal="right"/>
    </xf>
    <xf numFmtId="3" fontId="3" fillId="2" borderId="6" xfId="0" applyNumberFormat="1" applyFont="1" applyFill="1" applyBorder="1" applyAlignment="1">
      <alignment horizontal="right"/>
    </xf>
    <xf numFmtId="3" fontId="3" fillId="2" borderId="7" xfId="0" applyNumberFormat="1" applyFont="1" applyFill="1" applyBorder="1" applyAlignment="1">
      <alignment horizontal="right"/>
    </xf>
    <xf numFmtId="0" fontId="2" fillId="0" borderId="0" xfId="0" applyFont="1" applyAlignment="1">
      <alignment horizontal="center"/>
    </xf>
    <xf numFmtId="3" fontId="6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right"/>
    </xf>
    <xf numFmtId="3" fontId="5" fillId="0" borderId="1" xfId="0" applyNumberFormat="1" applyFont="1" applyBorder="1" applyAlignment="1">
      <alignment horizontal="right"/>
    </xf>
    <xf numFmtId="0" fontId="1" fillId="0" borderId="2" xfId="0" applyFont="1" applyBorder="1"/>
    <xf numFmtId="0" fontId="1" fillId="0" borderId="9" xfId="0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/>
    </xf>
    <xf numFmtId="3" fontId="2" fillId="0" borderId="5" xfId="0" applyNumberFormat="1" applyFont="1" applyBorder="1" applyAlignment="1">
      <alignment horizontal="right"/>
    </xf>
    <xf numFmtId="0" fontId="1" fillId="3" borderId="9" xfId="0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right"/>
    </xf>
    <xf numFmtId="3" fontId="6" fillId="3" borderId="1" xfId="0" applyNumberFormat="1" applyFont="1" applyFill="1" applyBorder="1" applyAlignment="1">
      <alignment horizontal="right"/>
    </xf>
    <xf numFmtId="3" fontId="2" fillId="3" borderId="1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3" fontId="2" fillId="3" borderId="2" xfId="0" applyNumberFormat="1" applyFont="1" applyFill="1" applyBorder="1" applyAlignment="1">
      <alignment horizontal="right"/>
    </xf>
    <xf numFmtId="3" fontId="6" fillId="3" borderId="3" xfId="0" applyNumberFormat="1" applyFont="1" applyFill="1" applyBorder="1" applyAlignment="1">
      <alignment horizontal="right"/>
    </xf>
    <xf numFmtId="3" fontId="0" fillId="3" borderId="2" xfId="0" applyNumberFormat="1" applyFill="1" applyBorder="1"/>
    <xf numFmtId="0" fontId="0" fillId="0" borderId="2" xfId="0" applyBorder="1"/>
    <xf numFmtId="0" fontId="1" fillId="3" borderId="2" xfId="0" applyFont="1" applyFill="1" applyBorder="1" applyAlignment="1">
      <alignment horizontal="center" vertical="center"/>
    </xf>
    <xf numFmtId="3" fontId="2" fillId="3" borderId="8" xfId="0" applyNumberFormat="1" applyFont="1" applyFill="1" applyBorder="1" applyAlignment="1">
      <alignment horizontal="right"/>
    </xf>
    <xf numFmtId="3" fontId="6" fillId="3" borderId="4" xfId="0" applyNumberFormat="1" applyFont="1" applyFill="1" applyBorder="1" applyAlignment="1">
      <alignment horizontal="right"/>
    </xf>
    <xf numFmtId="3" fontId="3" fillId="3" borderId="4" xfId="0" applyNumberFormat="1" applyFont="1" applyFill="1" applyBorder="1" applyAlignment="1">
      <alignment horizontal="right"/>
    </xf>
    <xf numFmtId="3" fontId="3" fillId="3" borderId="7" xfId="0" applyNumberFormat="1" applyFont="1" applyFill="1" applyBorder="1" applyAlignment="1">
      <alignment horizontal="right"/>
    </xf>
    <xf numFmtId="3" fontId="3" fillId="3" borderId="2" xfId="0" applyNumberFormat="1" applyFont="1" applyFill="1" applyBorder="1" applyAlignment="1">
      <alignment horizontal="right"/>
    </xf>
    <xf numFmtId="3" fontId="3" fillId="3" borderId="3" xfId="0" applyNumberFormat="1" applyFont="1" applyFill="1" applyBorder="1" applyAlignment="1">
      <alignment horizontal="right"/>
    </xf>
    <xf numFmtId="3" fontId="2" fillId="0" borderId="7" xfId="0" applyNumberFormat="1" applyFont="1" applyBorder="1" applyAlignment="1">
      <alignment horizontal="right"/>
    </xf>
    <xf numFmtId="3" fontId="3" fillId="0" borderId="11" xfId="0" applyNumberFormat="1" applyFont="1" applyBorder="1" applyAlignment="1">
      <alignment horizontal="right"/>
    </xf>
    <xf numFmtId="3" fontId="3" fillId="0" borderId="10" xfId="0" applyNumberFormat="1" applyFont="1" applyBorder="1" applyAlignment="1">
      <alignment horizontal="right"/>
    </xf>
    <xf numFmtId="3" fontId="2" fillId="0" borderId="11" xfId="0" applyNumberFormat="1" applyFont="1" applyBorder="1" applyAlignment="1">
      <alignment horizontal="right"/>
    </xf>
    <xf numFmtId="0" fontId="0" fillId="0" borderId="10" xfId="0" applyBorder="1"/>
    <xf numFmtId="0" fontId="0" fillId="3" borderId="10" xfId="0" applyFill="1" applyBorder="1"/>
    <xf numFmtId="3" fontId="3" fillId="3" borderId="11" xfId="0" applyNumberFormat="1" applyFont="1" applyFill="1" applyBorder="1" applyAlignment="1">
      <alignment horizontal="right"/>
    </xf>
    <xf numFmtId="3" fontId="3" fillId="3" borderId="10" xfId="0" applyNumberFormat="1" applyFont="1" applyFill="1" applyBorder="1" applyAlignment="1">
      <alignment horizontal="right"/>
    </xf>
    <xf numFmtId="3" fontId="3" fillId="3" borderId="8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2" tint="-0.249977111117893"/>
  </sheetPr>
  <dimension ref="A1:AC568"/>
  <sheetViews>
    <sheetView tabSelected="1" zoomScale="70" zoomScaleNormal="70" workbookViewId="0">
      <pane ySplit="1" topLeftCell="A293" activePane="bottomLeft" state="frozen"/>
      <selection pane="bottomLeft" activeCell="C338" sqref="C338"/>
    </sheetView>
  </sheetViews>
  <sheetFormatPr defaultColWidth="10.5703125" defaultRowHeight="15" x14ac:dyDescent="0.25"/>
  <cols>
    <col min="2" max="2" width="4.28515625" bestFit="1" customWidth="1"/>
    <col min="3" max="3" width="34.28515625" bestFit="1" customWidth="1"/>
    <col min="4" max="4" width="12.140625" bestFit="1" customWidth="1"/>
    <col min="5" max="5" width="11.28515625" bestFit="1" customWidth="1"/>
    <col min="6" max="6" width="14.7109375" bestFit="1" customWidth="1"/>
    <col min="7" max="7" width="29.28515625" bestFit="1" customWidth="1"/>
    <col min="8" max="8" width="12.5703125" bestFit="1" customWidth="1"/>
    <col min="9" max="9" width="10" bestFit="1" customWidth="1"/>
    <col min="10" max="10" width="15.7109375" bestFit="1" customWidth="1"/>
    <col min="11" max="11" width="14.7109375" bestFit="1" customWidth="1"/>
    <col min="12" max="12" width="8.42578125" bestFit="1" customWidth="1"/>
    <col min="13" max="13" width="9.42578125" bestFit="1" customWidth="1"/>
    <col min="14" max="14" width="19.140625" bestFit="1" customWidth="1"/>
    <col min="15" max="15" width="12.28515625" bestFit="1" customWidth="1"/>
    <col min="17" max="17" width="17" bestFit="1" customWidth="1"/>
    <col min="18" max="18" width="11.85546875" bestFit="1" customWidth="1"/>
    <col min="19" max="19" width="17.85546875" bestFit="1" customWidth="1"/>
    <col min="20" max="20" width="14.140625" bestFit="1" customWidth="1"/>
    <col min="21" max="21" width="14.7109375" bestFit="1" customWidth="1"/>
    <col min="22" max="22" width="10.85546875" bestFit="1" customWidth="1"/>
    <col min="23" max="23" width="13.85546875" bestFit="1" customWidth="1"/>
    <col min="24" max="24" width="14.42578125" bestFit="1" customWidth="1"/>
    <col min="25" max="25" width="8.140625" bestFit="1" customWidth="1"/>
    <col min="26" max="26" width="10.7109375" bestFit="1" customWidth="1"/>
    <col min="27" max="27" width="27.28515625" bestFit="1" customWidth="1"/>
    <col min="28" max="28" width="20" bestFit="1" customWidth="1"/>
    <col min="29" max="29" width="23.42578125" bestFit="1" customWidth="1"/>
  </cols>
  <sheetData>
    <row r="1" spans="1:29" x14ac:dyDescent="0.25">
      <c r="A1" s="31" t="s">
        <v>0</v>
      </c>
      <c r="B1" s="31" t="s">
        <v>361</v>
      </c>
      <c r="C1" s="31" t="s">
        <v>2</v>
      </c>
      <c r="D1" s="7" t="s">
        <v>356</v>
      </c>
      <c r="E1" s="7" t="s">
        <v>353</v>
      </c>
      <c r="F1" s="7" t="s">
        <v>118</v>
      </c>
      <c r="G1" s="7" t="s">
        <v>119</v>
      </c>
      <c r="H1" s="7" t="s">
        <v>360</v>
      </c>
      <c r="I1" s="7" t="s">
        <v>233</v>
      </c>
      <c r="J1" s="7" t="s">
        <v>354</v>
      </c>
      <c r="K1" s="7" t="s">
        <v>357</v>
      </c>
      <c r="L1" s="7" t="s">
        <v>175</v>
      </c>
      <c r="M1" s="7" t="s">
        <v>355</v>
      </c>
      <c r="N1" s="7" t="s">
        <v>177</v>
      </c>
      <c r="O1" s="7" t="s">
        <v>56</v>
      </c>
      <c r="P1" s="7" t="s">
        <v>358</v>
      </c>
      <c r="Q1" s="7" t="s">
        <v>58</v>
      </c>
      <c r="R1" s="7" t="s">
        <v>59</v>
      </c>
      <c r="S1" s="7" t="s">
        <v>234</v>
      </c>
      <c r="T1" s="14" t="s">
        <v>359</v>
      </c>
      <c r="U1" s="7" t="s">
        <v>351</v>
      </c>
      <c r="V1" s="7" t="s">
        <v>63</v>
      </c>
      <c r="W1" s="7" t="s">
        <v>64</v>
      </c>
      <c r="X1" s="14" t="s">
        <v>291</v>
      </c>
      <c r="Y1" s="14" t="s">
        <v>292</v>
      </c>
      <c r="Z1" s="14" t="s">
        <v>293</v>
      </c>
      <c r="AA1" s="14" t="s">
        <v>294</v>
      </c>
      <c r="AB1" s="14" t="s">
        <v>295</v>
      </c>
      <c r="AC1" s="14" t="s">
        <v>296</v>
      </c>
    </row>
    <row r="2" spans="1:29" x14ac:dyDescent="0.25">
      <c r="A2" s="35" t="s">
        <v>289</v>
      </c>
      <c r="B2" s="36">
        <v>1</v>
      </c>
      <c r="C2" s="36" t="s">
        <v>236</v>
      </c>
      <c r="D2" s="37">
        <v>0</v>
      </c>
      <c r="E2" s="37">
        <v>0</v>
      </c>
      <c r="F2" s="37">
        <v>0</v>
      </c>
      <c r="G2" s="37">
        <v>34</v>
      </c>
      <c r="H2" s="37">
        <v>0</v>
      </c>
      <c r="I2" s="37">
        <v>0</v>
      </c>
      <c r="J2" s="37">
        <v>0</v>
      </c>
      <c r="K2" s="37">
        <v>0</v>
      </c>
      <c r="L2" s="37">
        <v>0</v>
      </c>
      <c r="M2" s="37">
        <v>0</v>
      </c>
      <c r="N2" s="37">
        <v>0</v>
      </c>
      <c r="O2" s="37">
        <v>0</v>
      </c>
      <c r="P2" s="37">
        <v>0</v>
      </c>
      <c r="Q2" s="37">
        <v>165</v>
      </c>
      <c r="R2" s="37">
        <v>0</v>
      </c>
      <c r="S2" s="37">
        <v>0</v>
      </c>
      <c r="T2" s="37">
        <v>0</v>
      </c>
      <c r="U2" s="37">
        <v>0</v>
      </c>
      <c r="V2" s="37">
        <v>0</v>
      </c>
      <c r="W2" s="37">
        <v>938</v>
      </c>
      <c r="X2" s="42">
        <f t="shared" ref="X2:X65" si="0">F2+G2+O2+Q2+R2</f>
        <v>199</v>
      </c>
      <c r="Y2" s="42">
        <f t="shared" ref="Y2:Y65" si="1">W2</f>
        <v>938</v>
      </c>
      <c r="Z2" s="42">
        <f t="shared" ref="Z2:Z65" si="2">SUM(D2:W2)-X2-Y2</f>
        <v>0</v>
      </c>
      <c r="AA2" s="42">
        <f>X2</f>
        <v>199</v>
      </c>
      <c r="AB2" s="42">
        <f>Y2</f>
        <v>938</v>
      </c>
      <c r="AC2" s="42">
        <f>Z2</f>
        <v>0</v>
      </c>
    </row>
    <row r="3" spans="1:29" x14ac:dyDescent="0.25">
      <c r="A3" s="32" t="s">
        <v>289</v>
      </c>
      <c r="B3" s="30">
        <v>2</v>
      </c>
      <c r="C3" s="30" t="s">
        <v>237</v>
      </c>
      <c r="D3" s="33">
        <v>0</v>
      </c>
      <c r="E3" s="33">
        <v>0</v>
      </c>
      <c r="F3" s="33">
        <v>2156</v>
      </c>
      <c r="G3" s="33">
        <v>780</v>
      </c>
      <c r="H3" s="33">
        <v>0</v>
      </c>
      <c r="I3" s="33">
        <v>0</v>
      </c>
      <c r="J3" s="33">
        <v>0</v>
      </c>
      <c r="K3" s="33">
        <v>0</v>
      </c>
      <c r="L3" s="33">
        <v>0</v>
      </c>
      <c r="M3" s="33">
        <v>0</v>
      </c>
      <c r="N3" s="33">
        <v>0</v>
      </c>
      <c r="O3" s="33">
        <v>306</v>
      </c>
      <c r="P3" s="33">
        <v>0</v>
      </c>
      <c r="Q3" s="33">
        <v>570</v>
      </c>
      <c r="R3" s="33">
        <v>2818</v>
      </c>
      <c r="S3" s="33">
        <v>0</v>
      </c>
      <c r="T3" s="33">
        <v>0</v>
      </c>
      <c r="U3" s="33">
        <v>0</v>
      </c>
      <c r="V3" s="33">
        <v>0</v>
      </c>
      <c r="W3" s="33">
        <v>9166</v>
      </c>
      <c r="X3" s="13">
        <f t="shared" si="0"/>
        <v>6630</v>
      </c>
      <c r="Y3" s="13">
        <f t="shared" si="1"/>
        <v>9166</v>
      </c>
      <c r="Z3" s="13">
        <f t="shared" si="2"/>
        <v>0</v>
      </c>
      <c r="AA3" s="13">
        <f>AA2+X3</f>
        <v>6829</v>
      </c>
      <c r="AB3" s="13">
        <f>AB2+Y3</f>
        <v>10104</v>
      </c>
      <c r="AC3" s="13">
        <f>AC2+Z3</f>
        <v>0</v>
      </c>
    </row>
    <row r="4" spans="1:29" x14ac:dyDescent="0.25">
      <c r="A4" s="32" t="s">
        <v>289</v>
      </c>
      <c r="B4" s="30">
        <v>3</v>
      </c>
      <c r="C4" s="30" t="s">
        <v>238</v>
      </c>
      <c r="D4" s="33">
        <v>0</v>
      </c>
      <c r="E4" s="33">
        <v>0</v>
      </c>
      <c r="F4" s="33">
        <v>3870</v>
      </c>
      <c r="G4" s="33">
        <v>2074</v>
      </c>
      <c r="H4" s="33">
        <v>0</v>
      </c>
      <c r="I4" s="33">
        <v>0</v>
      </c>
      <c r="J4" s="33">
        <v>0</v>
      </c>
      <c r="K4" s="33">
        <v>0</v>
      </c>
      <c r="L4" s="33">
        <v>0</v>
      </c>
      <c r="M4" s="33">
        <v>0</v>
      </c>
      <c r="N4" s="33">
        <v>0</v>
      </c>
      <c r="O4" s="33">
        <v>532</v>
      </c>
      <c r="P4" s="33">
        <v>0</v>
      </c>
      <c r="Q4" s="33">
        <v>557</v>
      </c>
      <c r="R4" s="33">
        <v>1297</v>
      </c>
      <c r="S4" s="33">
        <v>0</v>
      </c>
      <c r="T4" s="33">
        <v>0</v>
      </c>
      <c r="U4" s="33">
        <v>0</v>
      </c>
      <c r="V4" s="33">
        <v>0</v>
      </c>
      <c r="W4" s="33">
        <v>9472</v>
      </c>
      <c r="X4" s="13">
        <f t="shared" si="0"/>
        <v>8330</v>
      </c>
      <c r="Y4" s="13">
        <f t="shared" si="1"/>
        <v>9472</v>
      </c>
      <c r="Z4" s="13">
        <f t="shared" si="2"/>
        <v>0</v>
      </c>
      <c r="AA4" s="13">
        <f t="shared" ref="AA4:AA54" si="3">AA3+X4</f>
        <v>15159</v>
      </c>
      <c r="AB4" s="13">
        <f t="shared" ref="AB4:AB54" si="4">AB3+Y4</f>
        <v>19576</v>
      </c>
      <c r="AC4" s="13">
        <f t="shared" ref="AC4:AC54" si="5">AC3+Z4</f>
        <v>0</v>
      </c>
    </row>
    <row r="5" spans="1:29" x14ac:dyDescent="0.25">
      <c r="A5" s="32" t="s">
        <v>289</v>
      </c>
      <c r="B5" s="30">
        <v>4</v>
      </c>
      <c r="C5" s="30" t="s">
        <v>239</v>
      </c>
      <c r="D5" s="33">
        <v>0</v>
      </c>
      <c r="E5" s="33">
        <v>0</v>
      </c>
      <c r="F5" s="33">
        <v>3817</v>
      </c>
      <c r="G5" s="33">
        <v>1268</v>
      </c>
      <c r="H5" s="33">
        <v>0</v>
      </c>
      <c r="I5" s="33">
        <v>0</v>
      </c>
      <c r="J5" s="33">
        <v>0</v>
      </c>
      <c r="K5" s="33">
        <v>0</v>
      </c>
      <c r="L5" s="33">
        <v>0</v>
      </c>
      <c r="M5" s="33">
        <v>0</v>
      </c>
      <c r="N5" s="33">
        <v>0</v>
      </c>
      <c r="O5" s="33">
        <v>1641</v>
      </c>
      <c r="P5" s="33">
        <v>0</v>
      </c>
      <c r="Q5" s="33">
        <v>725</v>
      </c>
      <c r="R5" s="33">
        <v>1263</v>
      </c>
      <c r="S5" s="33">
        <v>0</v>
      </c>
      <c r="T5" s="33">
        <v>0</v>
      </c>
      <c r="U5" s="33">
        <v>0</v>
      </c>
      <c r="V5" s="33">
        <v>0</v>
      </c>
      <c r="W5" s="33">
        <v>13408</v>
      </c>
      <c r="X5" s="13">
        <f t="shared" si="0"/>
        <v>8714</v>
      </c>
      <c r="Y5" s="13">
        <f t="shared" si="1"/>
        <v>13408</v>
      </c>
      <c r="Z5" s="13">
        <f t="shared" si="2"/>
        <v>0</v>
      </c>
      <c r="AA5" s="13">
        <f t="shared" si="3"/>
        <v>23873</v>
      </c>
      <c r="AB5" s="13">
        <f t="shared" si="4"/>
        <v>32984</v>
      </c>
      <c r="AC5" s="13">
        <f t="shared" si="5"/>
        <v>0</v>
      </c>
    </row>
    <row r="6" spans="1:29" x14ac:dyDescent="0.25">
      <c r="A6" s="32" t="s">
        <v>289</v>
      </c>
      <c r="B6" s="30">
        <v>5</v>
      </c>
      <c r="C6" s="30" t="s">
        <v>240</v>
      </c>
      <c r="D6" s="33">
        <v>0</v>
      </c>
      <c r="E6" s="33">
        <v>0</v>
      </c>
      <c r="F6" s="33">
        <v>4891</v>
      </c>
      <c r="G6" s="33">
        <v>1444</v>
      </c>
      <c r="H6" s="33">
        <v>0</v>
      </c>
      <c r="I6" s="33">
        <v>0</v>
      </c>
      <c r="J6" s="33">
        <v>0</v>
      </c>
      <c r="K6" s="33">
        <v>0</v>
      </c>
      <c r="L6" s="33">
        <v>0</v>
      </c>
      <c r="M6" s="33">
        <v>0</v>
      </c>
      <c r="N6" s="33">
        <v>0</v>
      </c>
      <c r="O6" s="33">
        <v>584</v>
      </c>
      <c r="P6" s="33">
        <v>0</v>
      </c>
      <c r="Q6" s="33">
        <v>1053</v>
      </c>
      <c r="R6" s="33">
        <v>1762</v>
      </c>
      <c r="S6" s="33">
        <v>0</v>
      </c>
      <c r="T6" s="33">
        <v>0</v>
      </c>
      <c r="U6" s="33">
        <v>0</v>
      </c>
      <c r="V6" s="33">
        <v>0</v>
      </c>
      <c r="W6" s="33">
        <v>14297</v>
      </c>
      <c r="X6" s="13">
        <f t="shared" si="0"/>
        <v>9734</v>
      </c>
      <c r="Y6" s="13">
        <f t="shared" si="1"/>
        <v>14297</v>
      </c>
      <c r="Z6" s="13">
        <f t="shared" si="2"/>
        <v>0</v>
      </c>
      <c r="AA6" s="13">
        <f t="shared" si="3"/>
        <v>33607</v>
      </c>
      <c r="AB6" s="13">
        <f t="shared" si="4"/>
        <v>47281</v>
      </c>
      <c r="AC6" s="13">
        <f t="shared" si="5"/>
        <v>0</v>
      </c>
    </row>
    <row r="7" spans="1:29" x14ac:dyDescent="0.25">
      <c r="A7" s="32" t="s">
        <v>289</v>
      </c>
      <c r="B7" s="30">
        <v>6</v>
      </c>
      <c r="C7" s="30" t="s">
        <v>241</v>
      </c>
      <c r="D7" s="33">
        <v>0</v>
      </c>
      <c r="E7" s="33">
        <v>0</v>
      </c>
      <c r="F7" s="33">
        <v>6064</v>
      </c>
      <c r="G7" s="33">
        <v>1665</v>
      </c>
      <c r="H7" s="33">
        <v>0</v>
      </c>
      <c r="I7" s="33">
        <v>0</v>
      </c>
      <c r="J7" s="33">
        <v>0</v>
      </c>
      <c r="K7" s="33">
        <v>0</v>
      </c>
      <c r="L7" s="33">
        <v>0</v>
      </c>
      <c r="M7" s="33">
        <v>0</v>
      </c>
      <c r="N7" s="33">
        <v>0</v>
      </c>
      <c r="O7" s="33">
        <v>1123</v>
      </c>
      <c r="P7" s="33">
        <v>0</v>
      </c>
      <c r="Q7" s="33">
        <v>470</v>
      </c>
      <c r="R7" s="33">
        <v>1498</v>
      </c>
      <c r="S7" s="33">
        <v>0</v>
      </c>
      <c r="T7" s="33">
        <v>0</v>
      </c>
      <c r="U7" s="33">
        <v>0</v>
      </c>
      <c r="V7" s="33">
        <v>0</v>
      </c>
      <c r="W7" s="33">
        <v>15758</v>
      </c>
      <c r="X7" s="13">
        <f t="shared" si="0"/>
        <v>10820</v>
      </c>
      <c r="Y7" s="13">
        <f t="shared" si="1"/>
        <v>15758</v>
      </c>
      <c r="Z7" s="13">
        <f t="shared" si="2"/>
        <v>0</v>
      </c>
      <c r="AA7" s="13">
        <f t="shared" si="3"/>
        <v>44427</v>
      </c>
      <c r="AB7" s="13">
        <f t="shared" si="4"/>
        <v>63039</v>
      </c>
      <c r="AC7" s="13">
        <f t="shared" si="5"/>
        <v>0</v>
      </c>
    </row>
    <row r="8" spans="1:29" x14ac:dyDescent="0.25">
      <c r="A8" s="32" t="s">
        <v>289</v>
      </c>
      <c r="B8" s="30">
        <v>7</v>
      </c>
      <c r="C8" s="30" t="s">
        <v>242</v>
      </c>
      <c r="D8" s="33">
        <v>0</v>
      </c>
      <c r="E8" s="33">
        <v>0</v>
      </c>
      <c r="F8" s="33">
        <v>5401</v>
      </c>
      <c r="G8" s="33">
        <v>2431</v>
      </c>
      <c r="H8" s="33">
        <v>0</v>
      </c>
      <c r="I8" s="33">
        <v>0</v>
      </c>
      <c r="J8" s="33">
        <v>0</v>
      </c>
      <c r="K8" s="33">
        <v>0</v>
      </c>
      <c r="L8" s="33">
        <v>0</v>
      </c>
      <c r="M8" s="33">
        <v>0</v>
      </c>
      <c r="N8" s="33">
        <v>0</v>
      </c>
      <c r="O8" s="33">
        <v>170</v>
      </c>
      <c r="P8" s="33">
        <v>0</v>
      </c>
      <c r="Q8" s="33">
        <v>639</v>
      </c>
      <c r="R8" s="33">
        <v>1116</v>
      </c>
      <c r="S8" s="33">
        <v>0</v>
      </c>
      <c r="T8" s="33">
        <v>0</v>
      </c>
      <c r="U8" s="33">
        <v>0</v>
      </c>
      <c r="V8" s="33">
        <v>0</v>
      </c>
      <c r="W8" s="33">
        <v>16239</v>
      </c>
      <c r="X8" s="13">
        <f t="shared" si="0"/>
        <v>9757</v>
      </c>
      <c r="Y8" s="13">
        <f t="shared" si="1"/>
        <v>16239</v>
      </c>
      <c r="Z8" s="13">
        <f t="shared" si="2"/>
        <v>0</v>
      </c>
      <c r="AA8" s="13">
        <f t="shared" si="3"/>
        <v>54184</v>
      </c>
      <c r="AB8" s="13">
        <f t="shared" si="4"/>
        <v>79278</v>
      </c>
      <c r="AC8" s="13">
        <f t="shared" si="5"/>
        <v>0</v>
      </c>
    </row>
    <row r="9" spans="1:29" x14ac:dyDescent="0.25">
      <c r="A9" s="32" t="s">
        <v>289</v>
      </c>
      <c r="B9" s="30">
        <v>8</v>
      </c>
      <c r="C9" s="30" t="s">
        <v>243</v>
      </c>
      <c r="D9" s="33">
        <v>0</v>
      </c>
      <c r="E9" s="33">
        <v>0</v>
      </c>
      <c r="F9" s="33">
        <v>5203</v>
      </c>
      <c r="G9" s="33">
        <v>920</v>
      </c>
      <c r="H9" s="33">
        <v>0</v>
      </c>
      <c r="I9" s="33">
        <v>0</v>
      </c>
      <c r="J9" s="33">
        <v>0</v>
      </c>
      <c r="K9" s="33">
        <v>0</v>
      </c>
      <c r="L9" s="33">
        <v>0</v>
      </c>
      <c r="M9" s="33">
        <v>0</v>
      </c>
      <c r="N9" s="33">
        <v>0</v>
      </c>
      <c r="O9" s="33">
        <v>721</v>
      </c>
      <c r="P9" s="33">
        <v>0</v>
      </c>
      <c r="Q9" s="33">
        <v>4421</v>
      </c>
      <c r="R9" s="33">
        <v>263</v>
      </c>
      <c r="S9" s="33">
        <v>0</v>
      </c>
      <c r="T9" s="33">
        <v>0</v>
      </c>
      <c r="U9" s="33">
        <v>0</v>
      </c>
      <c r="V9" s="33">
        <v>0</v>
      </c>
      <c r="W9" s="33">
        <v>8426</v>
      </c>
      <c r="X9" s="13">
        <f t="shared" si="0"/>
        <v>11528</v>
      </c>
      <c r="Y9" s="13">
        <f t="shared" si="1"/>
        <v>8426</v>
      </c>
      <c r="Z9" s="13">
        <f t="shared" si="2"/>
        <v>0</v>
      </c>
      <c r="AA9" s="13">
        <f t="shared" si="3"/>
        <v>65712</v>
      </c>
      <c r="AB9" s="13">
        <f t="shared" si="4"/>
        <v>87704</v>
      </c>
      <c r="AC9" s="13">
        <f t="shared" si="5"/>
        <v>0</v>
      </c>
    </row>
    <row r="10" spans="1:29" x14ac:dyDescent="0.25">
      <c r="A10" s="32" t="s">
        <v>289</v>
      </c>
      <c r="B10" s="30">
        <v>9</v>
      </c>
      <c r="C10" s="30" t="s">
        <v>244</v>
      </c>
      <c r="D10" s="33">
        <v>0</v>
      </c>
      <c r="E10" s="33">
        <v>0</v>
      </c>
      <c r="F10" s="33">
        <v>16887</v>
      </c>
      <c r="G10" s="33">
        <v>543</v>
      </c>
      <c r="H10" s="33">
        <v>0</v>
      </c>
      <c r="I10" s="33">
        <v>0</v>
      </c>
      <c r="J10" s="33">
        <v>0</v>
      </c>
      <c r="K10" s="33">
        <v>0</v>
      </c>
      <c r="L10" s="33">
        <v>0</v>
      </c>
      <c r="M10" s="33">
        <v>0</v>
      </c>
      <c r="N10" s="33">
        <v>0</v>
      </c>
      <c r="O10" s="33">
        <v>1128</v>
      </c>
      <c r="P10" s="33">
        <v>0</v>
      </c>
      <c r="Q10" s="33">
        <v>5925</v>
      </c>
      <c r="R10" s="33">
        <v>1991</v>
      </c>
      <c r="S10" s="33">
        <v>0</v>
      </c>
      <c r="T10" s="33">
        <v>0</v>
      </c>
      <c r="U10" s="33">
        <v>0</v>
      </c>
      <c r="V10" s="33">
        <v>0</v>
      </c>
      <c r="W10" s="33">
        <v>7050</v>
      </c>
      <c r="X10" s="13">
        <f t="shared" si="0"/>
        <v>26474</v>
      </c>
      <c r="Y10" s="13">
        <f t="shared" si="1"/>
        <v>7050</v>
      </c>
      <c r="Z10" s="13">
        <f t="shared" si="2"/>
        <v>0</v>
      </c>
      <c r="AA10" s="13">
        <f t="shared" si="3"/>
        <v>92186</v>
      </c>
      <c r="AB10" s="13">
        <f t="shared" si="4"/>
        <v>94754</v>
      </c>
      <c r="AC10" s="13">
        <f t="shared" si="5"/>
        <v>0</v>
      </c>
    </row>
    <row r="11" spans="1:29" x14ac:dyDescent="0.25">
      <c r="A11" s="32" t="s">
        <v>289</v>
      </c>
      <c r="B11" s="30">
        <v>10</v>
      </c>
      <c r="C11" s="30" t="s">
        <v>245</v>
      </c>
      <c r="D11" s="33">
        <v>0</v>
      </c>
      <c r="E11" s="33">
        <v>0</v>
      </c>
      <c r="F11" s="33">
        <v>4352</v>
      </c>
      <c r="G11" s="33">
        <v>200</v>
      </c>
      <c r="H11" s="33">
        <v>20014</v>
      </c>
      <c r="I11" s="33">
        <v>0</v>
      </c>
      <c r="J11" s="33">
        <v>0</v>
      </c>
      <c r="K11" s="33">
        <v>0</v>
      </c>
      <c r="L11" s="33">
        <v>0</v>
      </c>
      <c r="M11" s="33">
        <v>0</v>
      </c>
      <c r="N11" s="33">
        <v>0</v>
      </c>
      <c r="O11" s="33">
        <v>1435</v>
      </c>
      <c r="P11" s="33">
        <v>0</v>
      </c>
      <c r="Q11" s="33">
        <v>5819</v>
      </c>
      <c r="R11" s="33">
        <v>0</v>
      </c>
      <c r="S11" s="33">
        <v>0</v>
      </c>
      <c r="T11" s="33">
        <v>0</v>
      </c>
      <c r="U11" s="33">
        <v>0</v>
      </c>
      <c r="V11" s="33">
        <v>0</v>
      </c>
      <c r="W11" s="33">
        <v>10591</v>
      </c>
      <c r="X11" s="13">
        <f t="shared" si="0"/>
        <v>11806</v>
      </c>
      <c r="Y11" s="13">
        <f t="shared" si="1"/>
        <v>10591</v>
      </c>
      <c r="Z11" s="13">
        <f t="shared" si="2"/>
        <v>20014</v>
      </c>
      <c r="AA11" s="13">
        <f t="shared" si="3"/>
        <v>103992</v>
      </c>
      <c r="AB11" s="13">
        <f t="shared" si="4"/>
        <v>105345</v>
      </c>
      <c r="AC11" s="13">
        <f t="shared" si="5"/>
        <v>20014</v>
      </c>
    </row>
    <row r="12" spans="1:29" x14ac:dyDescent="0.25">
      <c r="A12" s="32" t="s">
        <v>289</v>
      </c>
      <c r="B12" s="30">
        <v>11</v>
      </c>
      <c r="C12" s="30" t="s">
        <v>246</v>
      </c>
      <c r="D12" s="33">
        <v>0</v>
      </c>
      <c r="E12" s="33">
        <v>0</v>
      </c>
      <c r="F12" s="33">
        <v>4107</v>
      </c>
      <c r="G12" s="33">
        <v>457</v>
      </c>
      <c r="H12" s="33">
        <v>0</v>
      </c>
      <c r="I12" s="33">
        <v>0</v>
      </c>
      <c r="J12" s="33">
        <v>0</v>
      </c>
      <c r="K12" s="33">
        <v>0</v>
      </c>
      <c r="L12" s="33">
        <v>0</v>
      </c>
      <c r="M12" s="33">
        <v>0</v>
      </c>
      <c r="N12" s="33">
        <v>0</v>
      </c>
      <c r="O12" s="33">
        <v>1776</v>
      </c>
      <c r="P12" s="33">
        <v>0</v>
      </c>
      <c r="Q12" s="33">
        <v>5843</v>
      </c>
      <c r="R12" s="33">
        <v>0</v>
      </c>
      <c r="S12" s="33">
        <v>0</v>
      </c>
      <c r="T12" s="33">
        <v>0</v>
      </c>
      <c r="U12" s="33">
        <v>0</v>
      </c>
      <c r="V12" s="33">
        <v>0</v>
      </c>
      <c r="W12" s="33">
        <v>3624</v>
      </c>
      <c r="X12" s="13">
        <f t="shared" si="0"/>
        <v>12183</v>
      </c>
      <c r="Y12" s="13">
        <f t="shared" si="1"/>
        <v>3624</v>
      </c>
      <c r="Z12" s="13">
        <f t="shared" si="2"/>
        <v>0</v>
      </c>
      <c r="AA12" s="13">
        <f t="shared" si="3"/>
        <v>116175</v>
      </c>
      <c r="AB12" s="13">
        <f t="shared" si="4"/>
        <v>108969</v>
      </c>
      <c r="AC12" s="13">
        <f t="shared" si="5"/>
        <v>20014</v>
      </c>
    </row>
    <row r="13" spans="1:29" x14ac:dyDescent="0.25">
      <c r="A13" s="32" t="s">
        <v>289</v>
      </c>
      <c r="B13" s="30">
        <v>12</v>
      </c>
      <c r="C13" s="30" t="s">
        <v>247</v>
      </c>
      <c r="D13" s="33">
        <v>0</v>
      </c>
      <c r="E13" s="33">
        <v>0</v>
      </c>
      <c r="F13" s="33">
        <v>4563</v>
      </c>
      <c r="G13" s="33">
        <v>784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33">
        <v>0</v>
      </c>
      <c r="O13" s="33">
        <v>1656</v>
      </c>
      <c r="P13" s="33">
        <v>0</v>
      </c>
      <c r="Q13" s="33">
        <v>4575</v>
      </c>
      <c r="R13" s="33">
        <v>0</v>
      </c>
      <c r="S13" s="33">
        <v>0</v>
      </c>
      <c r="T13" s="33">
        <v>0</v>
      </c>
      <c r="U13" s="33">
        <v>0</v>
      </c>
      <c r="V13" s="33">
        <v>0</v>
      </c>
      <c r="W13" s="33">
        <v>1637</v>
      </c>
      <c r="X13" s="13">
        <f t="shared" si="0"/>
        <v>11578</v>
      </c>
      <c r="Y13" s="13">
        <f t="shared" si="1"/>
        <v>1637</v>
      </c>
      <c r="Z13" s="13">
        <f t="shared" si="2"/>
        <v>0</v>
      </c>
      <c r="AA13" s="13">
        <f t="shared" si="3"/>
        <v>127753</v>
      </c>
      <c r="AB13" s="13">
        <f t="shared" si="4"/>
        <v>110606</v>
      </c>
      <c r="AC13" s="13">
        <f t="shared" si="5"/>
        <v>20014</v>
      </c>
    </row>
    <row r="14" spans="1:29" x14ac:dyDescent="0.25">
      <c r="A14" s="32" t="s">
        <v>289</v>
      </c>
      <c r="B14" s="30">
        <v>13</v>
      </c>
      <c r="C14" s="30" t="s">
        <v>248</v>
      </c>
      <c r="D14" s="33">
        <v>0</v>
      </c>
      <c r="E14" s="33">
        <v>0</v>
      </c>
      <c r="F14" s="33">
        <v>3140</v>
      </c>
      <c r="G14" s="33">
        <v>823</v>
      </c>
      <c r="H14" s="33">
        <v>0</v>
      </c>
      <c r="I14" s="33">
        <v>0</v>
      </c>
      <c r="J14" s="33">
        <v>0</v>
      </c>
      <c r="K14" s="33">
        <v>0</v>
      </c>
      <c r="L14" s="33">
        <v>0</v>
      </c>
      <c r="M14" s="33">
        <v>0</v>
      </c>
      <c r="N14" s="33">
        <v>0</v>
      </c>
      <c r="O14" s="33">
        <v>1496</v>
      </c>
      <c r="P14" s="33">
        <v>0</v>
      </c>
      <c r="Q14" s="33">
        <v>2191</v>
      </c>
      <c r="R14" s="33">
        <v>0</v>
      </c>
      <c r="S14" s="33">
        <v>0</v>
      </c>
      <c r="T14" s="33">
        <v>0</v>
      </c>
      <c r="U14" s="33">
        <v>0</v>
      </c>
      <c r="V14" s="33">
        <v>0</v>
      </c>
      <c r="W14" s="33">
        <v>2658</v>
      </c>
      <c r="X14" s="13">
        <f t="shared" si="0"/>
        <v>7650</v>
      </c>
      <c r="Y14" s="13">
        <f t="shared" si="1"/>
        <v>2658</v>
      </c>
      <c r="Z14" s="13">
        <f t="shared" si="2"/>
        <v>0</v>
      </c>
      <c r="AA14" s="13">
        <f t="shared" si="3"/>
        <v>135403</v>
      </c>
      <c r="AB14" s="13">
        <f t="shared" si="4"/>
        <v>113264</v>
      </c>
      <c r="AC14" s="13">
        <f t="shared" si="5"/>
        <v>20014</v>
      </c>
    </row>
    <row r="15" spans="1:29" x14ac:dyDescent="0.25">
      <c r="A15" s="32" t="s">
        <v>289</v>
      </c>
      <c r="B15" s="30">
        <v>14</v>
      </c>
      <c r="C15" s="30" t="s">
        <v>249</v>
      </c>
      <c r="D15" s="33">
        <v>0</v>
      </c>
      <c r="E15" s="33">
        <v>0</v>
      </c>
      <c r="F15" s="33">
        <v>3141</v>
      </c>
      <c r="G15" s="33">
        <v>966</v>
      </c>
      <c r="H15" s="33">
        <v>0</v>
      </c>
      <c r="I15" s="33">
        <v>0</v>
      </c>
      <c r="J15" s="33">
        <v>0</v>
      </c>
      <c r="K15" s="33">
        <v>0</v>
      </c>
      <c r="L15" s="33">
        <v>0</v>
      </c>
      <c r="M15" s="33">
        <v>0</v>
      </c>
      <c r="N15" s="33">
        <v>0</v>
      </c>
      <c r="O15" s="33">
        <v>2554</v>
      </c>
      <c r="P15" s="33">
        <v>0</v>
      </c>
      <c r="Q15" s="33">
        <v>4058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2696</v>
      </c>
      <c r="X15" s="13">
        <f t="shared" si="0"/>
        <v>10719</v>
      </c>
      <c r="Y15" s="13">
        <f t="shared" si="1"/>
        <v>2696</v>
      </c>
      <c r="Z15" s="13">
        <f t="shared" si="2"/>
        <v>0</v>
      </c>
      <c r="AA15" s="13">
        <f t="shared" si="3"/>
        <v>146122</v>
      </c>
      <c r="AB15" s="13">
        <f t="shared" si="4"/>
        <v>115960</v>
      </c>
      <c r="AC15" s="13">
        <f t="shared" si="5"/>
        <v>20014</v>
      </c>
    </row>
    <row r="16" spans="1:29" x14ac:dyDescent="0.25">
      <c r="A16" s="32" t="s">
        <v>289</v>
      </c>
      <c r="B16" s="30">
        <v>15</v>
      </c>
      <c r="C16" s="30" t="s">
        <v>250</v>
      </c>
      <c r="D16" s="33">
        <v>0</v>
      </c>
      <c r="E16" s="33">
        <v>0</v>
      </c>
      <c r="F16" s="33">
        <v>4511</v>
      </c>
      <c r="G16" s="33">
        <v>202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2291</v>
      </c>
      <c r="P16" s="33">
        <v>0</v>
      </c>
      <c r="Q16" s="33">
        <v>1039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1081</v>
      </c>
      <c r="X16" s="13">
        <f t="shared" si="0"/>
        <v>8043</v>
      </c>
      <c r="Y16" s="13">
        <f t="shared" si="1"/>
        <v>1081</v>
      </c>
      <c r="Z16" s="13">
        <f t="shared" si="2"/>
        <v>0</v>
      </c>
      <c r="AA16" s="13">
        <f t="shared" si="3"/>
        <v>154165</v>
      </c>
      <c r="AB16" s="13">
        <f t="shared" si="4"/>
        <v>117041</v>
      </c>
      <c r="AC16" s="13">
        <f t="shared" si="5"/>
        <v>20014</v>
      </c>
    </row>
    <row r="17" spans="1:29" x14ac:dyDescent="0.25">
      <c r="A17" s="32" t="s">
        <v>289</v>
      </c>
      <c r="B17" s="30">
        <v>16</v>
      </c>
      <c r="C17" s="30" t="s">
        <v>251</v>
      </c>
      <c r="D17" s="33">
        <v>0</v>
      </c>
      <c r="E17" s="33">
        <v>0</v>
      </c>
      <c r="F17" s="33">
        <v>4687</v>
      </c>
      <c r="G17" s="33">
        <v>78</v>
      </c>
      <c r="H17" s="33">
        <v>0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1164</v>
      </c>
      <c r="P17" s="33">
        <v>0</v>
      </c>
      <c r="Q17" s="33">
        <v>1957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714</v>
      </c>
      <c r="X17" s="13">
        <f t="shared" si="0"/>
        <v>7886</v>
      </c>
      <c r="Y17" s="13">
        <f t="shared" si="1"/>
        <v>714</v>
      </c>
      <c r="Z17" s="13">
        <f t="shared" si="2"/>
        <v>0</v>
      </c>
      <c r="AA17" s="13">
        <f t="shared" si="3"/>
        <v>162051</v>
      </c>
      <c r="AB17" s="13">
        <f t="shared" si="4"/>
        <v>117755</v>
      </c>
      <c r="AC17" s="13">
        <f t="shared" si="5"/>
        <v>20014</v>
      </c>
    </row>
    <row r="18" spans="1:29" x14ac:dyDescent="0.25">
      <c r="A18" s="32" t="s">
        <v>289</v>
      </c>
      <c r="B18" s="30">
        <v>17</v>
      </c>
      <c r="C18" s="30" t="s">
        <v>252</v>
      </c>
      <c r="D18" s="33">
        <v>0</v>
      </c>
      <c r="E18" s="33">
        <v>0</v>
      </c>
      <c r="F18" s="33">
        <v>5705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3">
        <v>0</v>
      </c>
      <c r="M18" s="33">
        <v>0</v>
      </c>
      <c r="N18" s="33">
        <v>0</v>
      </c>
      <c r="O18" s="33">
        <v>2261</v>
      </c>
      <c r="P18" s="33">
        <v>0</v>
      </c>
      <c r="Q18" s="33">
        <v>1950</v>
      </c>
      <c r="R18" s="33">
        <v>0</v>
      </c>
      <c r="S18" s="33">
        <v>0</v>
      </c>
      <c r="T18" s="33">
        <v>0</v>
      </c>
      <c r="U18" s="33">
        <v>0</v>
      </c>
      <c r="V18" s="33">
        <v>0</v>
      </c>
      <c r="W18" s="33">
        <v>1076</v>
      </c>
      <c r="X18" s="13">
        <f t="shared" si="0"/>
        <v>9916</v>
      </c>
      <c r="Y18" s="13">
        <f t="shared" si="1"/>
        <v>1076</v>
      </c>
      <c r="Z18" s="13">
        <f t="shared" si="2"/>
        <v>0</v>
      </c>
      <c r="AA18" s="13">
        <f t="shared" si="3"/>
        <v>171967</v>
      </c>
      <c r="AB18" s="13">
        <f t="shared" si="4"/>
        <v>118831</v>
      </c>
      <c r="AC18" s="13">
        <f t="shared" si="5"/>
        <v>20014</v>
      </c>
    </row>
    <row r="19" spans="1:29" x14ac:dyDescent="0.25">
      <c r="A19" s="32" t="s">
        <v>289</v>
      </c>
      <c r="B19" s="30">
        <v>18</v>
      </c>
      <c r="C19" s="30" t="s">
        <v>253</v>
      </c>
      <c r="D19" s="33">
        <v>0</v>
      </c>
      <c r="E19" s="33">
        <v>0</v>
      </c>
      <c r="F19" s="33">
        <v>5457</v>
      </c>
      <c r="G19" s="33">
        <v>31</v>
      </c>
      <c r="H19" s="33">
        <v>0</v>
      </c>
      <c r="I19" s="33">
        <v>0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2299</v>
      </c>
      <c r="P19" s="33">
        <v>0</v>
      </c>
      <c r="Q19" s="33">
        <v>1901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1916</v>
      </c>
      <c r="X19" s="13">
        <f t="shared" si="0"/>
        <v>9688</v>
      </c>
      <c r="Y19" s="13">
        <f t="shared" si="1"/>
        <v>1916</v>
      </c>
      <c r="Z19" s="13">
        <f t="shared" si="2"/>
        <v>0</v>
      </c>
      <c r="AA19" s="13">
        <f t="shared" si="3"/>
        <v>181655</v>
      </c>
      <c r="AB19" s="13">
        <f t="shared" si="4"/>
        <v>120747</v>
      </c>
      <c r="AC19" s="13">
        <f t="shared" si="5"/>
        <v>20014</v>
      </c>
    </row>
    <row r="20" spans="1:29" x14ac:dyDescent="0.25">
      <c r="A20" s="32" t="s">
        <v>289</v>
      </c>
      <c r="B20" s="30">
        <v>19</v>
      </c>
      <c r="C20" s="30" t="s">
        <v>254</v>
      </c>
      <c r="D20" s="33">
        <v>0</v>
      </c>
      <c r="E20" s="33">
        <v>0</v>
      </c>
      <c r="F20" s="33">
        <v>4452</v>
      </c>
      <c r="G20" s="33">
        <v>0</v>
      </c>
      <c r="H20" s="33">
        <v>0</v>
      </c>
      <c r="I20" s="33">
        <v>0</v>
      </c>
      <c r="J20" s="33">
        <v>0</v>
      </c>
      <c r="K20" s="33">
        <v>0</v>
      </c>
      <c r="L20" s="33">
        <v>0</v>
      </c>
      <c r="M20" s="33">
        <v>0</v>
      </c>
      <c r="N20" s="33">
        <v>0</v>
      </c>
      <c r="O20" s="33">
        <v>3125</v>
      </c>
      <c r="P20" s="33">
        <v>0</v>
      </c>
      <c r="Q20" s="33">
        <v>1402</v>
      </c>
      <c r="R20" s="33">
        <v>0</v>
      </c>
      <c r="S20" s="33">
        <v>0</v>
      </c>
      <c r="T20" s="33">
        <v>0</v>
      </c>
      <c r="U20" s="33">
        <v>0</v>
      </c>
      <c r="V20" s="33">
        <v>0</v>
      </c>
      <c r="W20" s="33">
        <v>1015</v>
      </c>
      <c r="X20" s="13">
        <f t="shared" si="0"/>
        <v>8979</v>
      </c>
      <c r="Y20" s="13">
        <f t="shared" si="1"/>
        <v>1015</v>
      </c>
      <c r="Z20" s="13">
        <f t="shared" si="2"/>
        <v>0</v>
      </c>
      <c r="AA20" s="13">
        <f t="shared" si="3"/>
        <v>190634</v>
      </c>
      <c r="AB20" s="13">
        <f t="shared" si="4"/>
        <v>121762</v>
      </c>
      <c r="AC20" s="13">
        <f t="shared" si="5"/>
        <v>20014</v>
      </c>
    </row>
    <row r="21" spans="1:29" x14ac:dyDescent="0.25">
      <c r="A21" s="32" t="s">
        <v>289</v>
      </c>
      <c r="B21" s="30">
        <v>20</v>
      </c>
      <c r="C21" s="30" t="s">
        <v>255</v>
      </c>
      <c r="D21" s="33">
        <v>0</v>
      </c>
      <c r="E21" s="33">
        <v>0</v>
      </c>
      <c r="F21" s="33">
        <v>3734</v>
      </c>
      <c r="G21" s="33">
        <v>385</v>
      </c>
      <c r="H21" s="33">
        <v>0</v>
      </c>
      <c r="I21" s="33">
        <v>0</v>
      </c>
      <c r="J21" s="33">
        <v>0</v>
      </c>
      <c r="K21" s="33">
        <v>0</v>
      </c>
      <c r="L21" s="33">
        <v>0</v>
      </c>
      <c r="M21" s="33">
        <v>0</v>
      </c>
      <c r="N21" s="33">
        <v>0</v>
      </c>
      <c r="O21" s="33">
        <v>3160</v>
      </c>
      <c r="P21" s="33">
        <v>0</v>
      </c>
      <c r="Q21" s="33">
        <v>1453</v>
      </c>
      <c r="R21" s="33">
        <v>0</v>
      </c>
      <c r="S21" s="33">
        <v>0</v>
      </c>
      <c r="T21" s="33">
        <v>0</v>
      </c>
      <c r="U21" s="33">
        <v>0</v>
      </c>
      <c r="V21" s="33">
        <v>0</v>
      </c>
      <c r="W21" s="33">
        <v>5054</v>
      </c>
      <c r="X21" s="13">
        <f t="shared" si="0"/>
        <v>8732</v>
      </c>
      <c r="Y21" s="13">
        <f t="shared" si="1"/>
        <v>5054</v>
      </c>
      <c r="Z21" s="13">
        <f t="shared" si="2"/>
        <v>0</v>
      </c>
      <c r="AA21" s="13">
        <f t="shared" si="3"/>
        <v>199366</v>
      </c>
      <c r="AB21" s="13">
        <f t="shared" si="4"/>
        <v>126816</v>
      </c>
      <c r="AC21" s="13">
        <f t="shared" si="5"/>
        <v>20014</v>
      </c>
    </row>
    <row r="22" spans="1:29" x14ac:dyDescent="0.25">
      <c r="A22" s="32" t="s">
        <v>289</v>
      </c>
      <c r="B22" s="30">
        <v>21</v>
      </c>
      <c r="C22" s="30" t="s">
        <v>256</v>
      </c>
      <c r="D22" s="33">
        <v>0</v>
      </c>
      <c r="E22" s="33">
        <v>0</v>
      </c>
      <c r="F22" s="33">
        <v>4619</v>
      </c>
      <c r="G22" s="33">
        <v>624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2342</v>
      </c>
      <c r="P22" s="33">
        <v>0</v>
      </c>
      <c r="Q22" s="33">
        <v>1711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5352</v>
      </c>
      <c r="X22" s="13">
        <f t="shared" si="0"/>
        <v>9296</v>
      </c>
      <c r="Y22" s="13">
        <f t="shared" si="1"/>
        <v>5352</v>
      </c>
      <c r="Z22" s="13">
        <f t="shared" si="2"/>
        <v>0</v>
      </c>
      <c r="AA22" s="13">
        <f t="shared" si="3"/>
        <v>208662</v>
      </c>
      <c r="AB22" s="13">
        <f t="shared" si="4"/>
        <v>132168</v>
      </c>
      <c r="AC22" s="13">
        <f t="shared" si="5"/>
        <v>20014</v>
      </c>
    </row>
    <row r="23" spans="1:29" x14ac:dyDescent="0.25">
      <c r="A23" s="32" t="s">
        <v>289</v>
      </c>
      <c r="B23" s="30">
        <v>22</v>
      </c>
      <c r="C23" s="30" t="s">
        <v>257</v>
      </c>
      <c r="D23" s="33">
        <v>0</v>
      </c>
      <c r="E23" s="33">
        <v>0</v>
      </c>
      <c r="F23" s="33">
        <v>3860</v>
      </c>
      <c r="G23" s="33">
        <v>622</v>
      </c>
      <c r="H23" s="33">
        <v>0</v>
      </c>
      <c r="I23" s="33">
        <v>0</v>
      </c>
      <c r="J23" s="33">
        <v>0</v>
      </c>
      <c r="K23" s="33">
        <v>0</v>
      </c>
      <c r="L23" s="33">
        <v>0</v>
      </c>
      <c r="M23" s="33">
        <v>0</v>
      </c>
      <c r="N23" s="33">
        <v>0</v>
      </c>
      <c r="O23" s="33">
        <v>1520</v>
      </c>
      <c r="P23" s="33">
        <v>0</v>
      </c>
      <c r="Q23" s="33">
        <v>1759</v>
      </c>
      <c r="R23" s="33">
        <v>11</v>
      </c>
      <c r="S23" s="33">
        <v>0</v>
      </c>
      <c r="T23" s="33">
        <v>0</v>
      </c>
      <c r="U23" s="33">
        <v>0</v>
      </c>
      <c r="V23" s="33">
        <v>0</v>
      </c>
      <c r="W23" s="33">
        <v>7965</v>
      </c>
      <c r="X23" s="13">
        <f t="shared" si="0"/>
        <v>7772</v>
      </c>
      <c r="Y23" s="13">
        <f t="shared" si="1"/>
        <v>7965</v>
      </c>
      <c r="Z23" s="13">
        <f t="shared" si="2"/>
        <v>0</v>
      </c>
      <c r="AA23" s="13">
        <f t="shared" si="3"/>
        <v>216434</v>
      </c>
      <c r="AB23" s="13">
        <f t="shared" si="4"/>
        <v>140133</v>
      </c>
      <c r="AC23" s="13">
        <f t="shared" si="5"/>
        <v>20014</v>
      </c>
    </row>
    <row r="24" spans="1:29" x14ac:dyDescent="0.25">
      <c r="A24" s="32" t="s">
        <v>289</v>
      </c>
      <c r="B24" s="30">
        <v>23</v>
      </c>
      <c r="C24" s="30" t="s">
        <v>258</v>
      </c>
      <c r="D24" s="33">
        <v>0</v>
      </c>
      <c r="E24" s="33">
        <v>0</v>
      </c>
      <c r="F24" s="33">
        <v>2824</v>
      </c>
      <c r="G24" s="33">
        <v>1138</v>
      </c>
      <c r="H24" s="33">
        <v>0</v>
      </c>
      <c r="I24" s="33">
        <v>0</v>
      </c>
      <c r="J24" s="33">
        <v>0</v>
      </c>
      <c r="K24" s="33">
        <v>0</v>
      </c>
      <c r="L24" s="33">
        <v>0</v>
      </c>
      <c r="M24" s="33">
        <v>0</v>
      </c>
      <c r="N24" s="33">
        <v>0</v>
      </c>
      <c r="O24" s="33">
        <v>1339</v>
      </c>
      <c r="P24" s="33">
        <v>0</v>
      </c>
      <c r="Q24" s="33">
        <v>1451</v>
      </c>
      <c r="R24" s="33">
        <v>0</v>
      </c>
      <c r="S24" s="33">
        <v>0</v>
      </c>
      <c r="T24" s="33">
        <v>0</v>
      </c>
      <c r="U24" s="33">
        <v>0</v>
      </c>
      <c r="V24" s="33">
        <v>0</v>
      </c>
      <c r="W24" s="33">
        <v>6351</v>
      </c>
      <c r="X24" s="13">
        <f t="shared" si="0"/>
        <v>6752</v>
      </c>
      <c r="Y24" s="13">
        <f t="shared" si="1"/>
        <v>6351</v>
      </c>
      <c r="Z24" s="13">
        <f t="shared" si="2"/>
        <v>0</v>
      </c>
      <c r="AA24" s="13">
        <f t="shared" si="3"/>
        <v>223186</v>
      </c>
      <c r="AB24" s="13">
        <f t="shared" si="4"/>
        <v>146484</v>
      </c>
      <c r="AC24" s="13">
        <f t="shared" si="5"/>
        <v>20014</v>
      </c>
    </row>
    <row r="25" spans="1:29" x14ac:dyDescent="0.25">
      <c r="A25" s="32" t="s">
        <v>289</v>
      </c>
      <c r="B25" s="30">
        <v>24</v>
      </c>
      <c r="C25" s="30" t="s">
        <v>259</v>
      </c>
      <c r="D25" s="33">
        <v>0</v>
      </c>
      <c r="E25" s="33">
        <v>0</v>
      </c>
      <c r="F25" s="33">
        <v>4695</v>
      </c>
      <c r="G25" s="33">
        <v>912</v>
      </c>
      <c r="H25" s="33">
        <v>0</v>
      </c>
      <c r="I25" s="33">
        <v>0</v>
      </c>
      <c r="J25" s="33">
        <v>0</v>
      </c>
      <c r="K25" s="33">
        <v>0</v>
      </c>
      <c r="L25" s="33">
        <v>0</v>
      </c>
      <c r="M25" s="33">
        <v>0</v>
      </c>
      <c r="N25" s="33">
        <v>0</v>
      </c>
      <c r="O25" s="33">
        <v>2241</v>
      </c>
      <c r="P25" s="33">
        <v>0</v>
      </c>
      <c r="Q25" s="33">
        <v>6389</v>
      </c>
      <c r="R25" s="33">
        <v>0</v>
      </c>
      <c r="S25" s="33">
        <v>0</v>
      </c>
      <c r="T25" s="33">
        <v>0</v>
      </c>
      <c r="U25" s="33">
        <v>0</v>
      </c>
      <c r="V25" s="33">
        <v>0</v>
      </c>
      <c r="W25" s="33">
        <v>2542</v>
      </c>
      <c r="X25" s="13">
        <f t="shared" si="0"/>
        <v>14237</v>
      </c>
      <c r="Y25" s="13">
        <f t="shared" si="1"/>
        <v>2542</v>
      </c>
      <c r="Z25" s="13">
        <f t="shared" si="2"/>
        <v>0</v>
      </c>
      <c r="AA25" s="13">
        <f t="shared" si="3"/>
        <v>237423</v>
      </c>
      <c r="AB25" s="13">
        <f t="shared" si="4"/>
        <v>149026</v>
      </c>
      <c r="AC25" s="13">
        <f t="shared" si="5"/>
        <v>20014</v>
      </c>
    </row>
    <row r="26" spans="1:29" x14ac:dyDescent="0.25">
      <c r="A26" s="32" t="s">
        <v>289</v>
      </c>
      <c r="B26" s="30">
        <v>25</v>
      </c>
      <c r="C26" s="30" t="s">
        <v>260</v>
      </c>
      <c r="D26" s="33">
        <v>0</v>
      </c>
      <c r="E26" s="33">
        <v>0</v>
      </c>
      <c r="F26" s="33">
        <v>5152</v>
      </c>
      <c r="G26" s="33">
        <v>937</v>
      </c>
      <c r="H26" s="33">
        <v>0</v>
      </c>
      <c r="I26" s="33">
        <v>0</v>
      </c>
      <c r="J26" s="33">
        <v>0</v>
      </c>
      <c r="K26" s="33">
        <v>0</v>
      </c>
      <c r="L26" s="33">
        <v>0</v>
      </c>
      <c r="M26" s="33">
        <v>0</v>
      </c>
      <c r="N26" s="33">
        <v>0</v>
      </c>
      <c r="O26" s="33">
        <v>519</v>
      </c>
      <c r="P26" s="33">
        <v>0</v>
      </c>
      <c r="Q26" s="33">
        <v>17097</v>
      </c>
      <c r="R26" s="33">
        <v>353</v>
      </c>
      <c r="S26" s="33">
        <v>0</v>
      </c>
      <c r="T26" s="33">
        <v>0</v>
      </c>
      <c r="U26" s="33">
        <v>0</v>
      </c>
      <c r="V26" s="33">
        <v>0</v>
      </c>
      <c r="W26" s="33">
        <v>4408</v>
      </c>
      <c r="X26" s="13">
        <f t="shared" si="0"/>
        <v>24058</v>
      </c>
      <c r="Y26" s="13">
        <f t="shared" si="1"/>
        <v>4408</v>
      </c>
      <c r="Z26" s="13">
        <f t="shared" si="2"/>
        <v>0</v>
      </c>
      <c r="AA26" s="13">
        <f t="shared" si="3"/>
        <v>261481</v>
      </c>
      <c r="AB26" s="13">
        <f t="shared" si="4"/>
        <v>153434</v>
      </c>
      <c r="AC26" s="13">
        <f t="shared" si="5"/>
        <v>20014</v>
      </c>
    </row>
    <row r="27" spans="1:29" x14ac:dyDescent="0.25">
      <c r="A27" s="32" t="s">
        <v>289</v>
      </c>
      <c r="B27" s="30">
        <v>26</v>
      </c>
      <c r="C27" s="30" t="s">
        <v>261</v>
      </c>
      <c r="D27" s="33">
        <v>0</v>
      </c>
      <c r="E27" s="33">
        <v>0</v>
      </c>
      <c r="F27" s="33">
        <v>4558</v>
      </c>
      <c r="G27" s="33">
        <v>777</v>
      </c>
      <c r="H27" s="33">
        <v>0</v>
      </c>
      <c r="I27" s="33">
        <v>0</v>
      </c>
      <c r="J27" s="33">
        <v>0</v>
      </c>
      <c r="K27" s="33">
        <v>0</v>
      </c>
      <c r="L27" s="33">
        <v>25729</v>
      </c>
      <c r="M27" s="33">
        <v>0</v>
      </c>
      <c r="N27" s="33">
        <v>0</v>
      </c>
      <c r="O27" s="33">
        <v>997</v>
      </c>
      <c r="P27" s="33">
        <v>0</v>
      </c>
      <c r="Q27" s="33">
        <v>2584</v>
      </c>
      <c r="R27" s="33">
        <v>2371</v>
      </c>
      <c r="S27" s="33">
        <v>0</v>
      </c>
      <c r="T27" s="33">
        <v>0</v>
      </c>
      <c r="U27" s="33">
        <v>0</v>
      </c>
      <c r="V27" s="33">
        <v>0</v>
      </c>
      <c r="W27" s="33">
        <v>3739</v>
      </c>
      <c r="X27" s="13">
        <f t="shared" si="0"/>
        <v>11287</v>
      </c>
      <c r="Y27" s="13">
        <f t="shared" si="1"/>
        <v>3739</v>
      </c>
      <c r="Z27" s="13">
        <f t="shared" si="2"/>
        <v>25729</v>
      </c>
      <c r="AA27" s="13">
        <f t="shared" si="3"/>
        <v>272768</v>
      </c>
      <c r="AB27" s="13">
        <f t="shared" si="4"/>
        <v>157173</v>
      </c>
      <c r="AC27" s="13">
        <f t="shared" si="5"/>
        <v>45743</v>
      </c>
    </row>
    <row r="28" spans="1:29" x14ac:dyDescent="0.25">
      <c r="A28" s="32" t="s">
        <v>289</v>
      </c>
      <c r="B28" s="30">
        <v>27</v>
      </c>
      <c r="C28" s="30" t="s">
        <v>262</v>
      </c>
      <c r="D28" s="33">
        <v>0</v>
      </c>
      <c r="E28" s="33">
        <v>0</v>
      </c>
      <c r="F28" s="33">
        <v>5596</v>
      </c>
      <c r="G28" s="33">
        <v>1269</v>
      </c>
      <c r="H28" s="33">
        <v>0</v>
      </c>
      <c r="I28" s="33">
        <v>0</v>
      </c>
      <c r="J28" s="33">
        <v>0</v>
      </c>
      <c r="K28" s="33">
        <v>0</v>
      </c>
      <c r="L28" s="33">
        <v>22887</v>
      </c>
      <c r="M28" s="33">
        <v>0</v>
      </c>
      <c r="N28" s="33">
        <v>0</v>
      </c>
      <c r="O28" s="33">
        <v>2276</v>
      </c>
      <c r="P28" s="33">
        <v>0</v>
      </c>
      <c r="Q28" s="33">
        <v>2867</v>
      </c>
      <c r="R28" s="33">
        <v>2308</v>
      </c>
      <c r="S28" s="33">
        <v>0</v>
      </c>
      <c r="T28" s="33">
        <v>0</v>
      </c>
      <c r="U28" s="33">
        <v>0</v>
      </c>
      <c r="V28" s="33">
        <v>0</v>
      </c>
      <c r="W28" s="33">
        <v>6546</v>
      </c>
      <c r="X28" s="13">
        <f t="shared" si="0"/>
        <v>14316</v>
      </c>
      <c r="Y28" s="13">
        <f t="shared" si="1"/>
        <v>6546</v>
      </c>
      <c r="Z28" s="13">
        <f t="shared" si="2"/>
        <v>22887</v>
      </c>
      <c r="AA28" s="13">
        <f t="shared" si="3"/>
        <v>287084</v>
      </c>
      <c r="AB28" s="13">
        <f t="shared" si="4"/>
        <v>163719</v>
      </c>
      <c r="AC28" s="13">
        <f t="shared" si="5"/>
        <v>68630</v>
      </c>
    </row>
    <row r="29" spans="1:29" x14ac:dyDescent="0.25">
      <c r="A29" s="32" t="s">
        <v>289</v>
      </c>
      <c r="B29" s="30">
        <v>28</v>
      </c>
      <c r="C29" s="30" t="s">
        <v>263</v>
      </c>
      <c r="D29" s="33">
        <v>0</v>
      </c>
      <c r="E29" s="33">
        <v>0</v>
      </c>
      <c r="F29" s="33">
        <v>3307</v>
      </c>
      <c r="G29" s="33">
        <v>967</v>
      </c>
      <c r="H29" s="33">
        <v>0</v>
      </c>
      <c r="I29" s="33">
        <v>0</v>
      </c>
      <c r="J29" s="33">
        <v>0</v>
      </c>
      <c r="K29" s="33">
        <v>0</v>
      </c>
      <c r="L29" s="33">
        <v>0</v>
      </c>
      <c r="M29" s="33">
        <v>0</v>
      </c>
      <c r="N29" s="33">
        <v>0</v>
      </c>
      <c r="O29" s="33">
        <v>403</v>
      </c>
      <c r="P29" s="33">
        <v>0</v>
      </c>
      <c r="Q29" s="33">
        <v>2900</v>
      </c>
      <c r="R29" s="33">
        <v>3086</v>
      </c>
      <c r="S29" s="33">
        <v>0</v>
      </c>
      <c r="T29" s="33">
        <v>0</v>
      </c>
      <c r="U29" s="33">
        <v>0</v>
      </c>
      <c r="V29" s="33">
        <v>0</v>
      </c>
      <c r="W29" s="33">
        <v>5893</v>
      </c>
      <c r="X29" s="13">
        <f t="shared" si="0"/>
        <v>10663</v>
      </c>
      <c r="Y29" s="13">
        <f t="shared" si="1"/>
        <v>5893</v>
      </c>
      <c r="Z29" s="13">
        <f t="shared" si="2"/>
        <v>0</v>
      </c>
      <c r="AA29" s="13">
        <f t="shared" si="3"/>
        <v>297747</v>
      </c>
      <c r="AB29" s="13">
        <f t="shared" si="4"/>
        <v>169612</v>
      </c>
      <c r="AC29" s="13">
        <f t="shared" si="5"/>
        <v>68630</v>
      </c>
    </row>
    <row r="30" spans="1:29" x14ac:dyDescent="0.25">
      <c r="A30" s="32" t="s">
        <v>289</v>
      </c>
      <c r="B30" s="30">
        <v>29</v>
      </c>
      <c r="C30" s="30" t="s">
        <v>264</v>
      </c>
      <c r="D30" s="33">
        <v>0</v>
      </c>
      <c r="E30" s="33">
        <v>0</v>
      </c>
      <c r="F30" s="33">
        <v>3847</v>
      </c>
      <c r="G30" s="33">
        <v>1604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928</v>
      </c>
      <c r="P30" s="33">
        <v>0</v>
      </c>
      <c r="Q30" s="33">
        <v>3257</v>
      </c>
      <c r="R30" s="33">
        <v>3553</v>
      </c>
      <c r="S30" s="33">
        <v>0</v>
      </c>
      <c r="T30" s="33">
        <v>0</v>
      </c>
      <c r="U30" s="33">
        <v>0</v>
      </c>
      <c r="V30" s="33">
        <v>0</v>
      </c>
      <c r="W30" s="33">
        <v>4476</v>
      </c>
      <c r="X30" s="13">
        <f t="shared" si="0"/>
        <v>13189</v>
      </c>
      <c r="Y30" s="13">
        <f t="shared" si="1"/>
        <v>4476</v>
      </c>
      <c r="Z30" s="13">
        <f t="shared" si="2"/>
        <v>0</v>
      </c>
      <c r="AA30" s="13">
        <f t="shared" si="3"/>
        <v>310936</v>
      </c>
      <c r="AB30" s="13">
        <f t="shared" si="4"/>
        <v>174088</v>
      </c>
      <c r="AC30" s="13">
        <f t="shared" si="5"/>
        <v>68630</v>
      </c>
    </row>
    <row r="31" spans="1:29" x14ac:dyDescent="0.25">
      <c r="A31" s="32" t="s">
        <v>289</v>
      </c>
      <c r="B31" s="30">
        <v>30</v>
      </c>
      <c r="C31" s="30" t="s">
        <v>265</v>
      </c>
      <c r="D31" s="33">
        <v>0</v>
      </c>
      <c r="E31" s="33">
        <v>0</v>
      </c>
      <c r="F31" s="33">
        <v>4388</v>
      </c>
      <c r="G31" s="33">
        <v>820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v>0</v>
      </c>
      <c r="O31" s="33">
        <v>873</v>
      </c>
      <c r="P31" s="33">
        <v>0</v>
      </c>
      <c r="Q31" s="33">
        <v>3268</v>
      </c>
      <c r="R31" s="33">
        <v>3790</v>
      </c>
      <c r="S31" s="33">
        <v>0</v>
      </c>
      <c r="T31" s="33">
        <v>0</v>
      </c>
      <c r="U31" s="33">
        <v>0</v>
      </c>
      <c r="V31" s="33">
        <v>0</v>
      </c>
      <c r="W31" s="33">
        <v>6531</v>
      </c>
      <c r="X31" s="13">
        <f t="shared" si="0"/>
        <v>13139</v>
      </c>
      <c r="Y31" s="13">
        <f t="shared" si="1"/>
        <v>6531</v>
      </c>
      <c r="Z31" s="13">
        <f t="shared" si="2"/>
        <v>0</v>
      </c>
      <c r="AA31" s="13">
        <f t="shared" si="3"/>
        <v>324075</v>
      </c>
      <c r="AB31" s="13">
        <f t="shared" si="4"/>
        <v>180619</v>
      </c>
      <c r="AC31" s="13">
        <f t="shared" si="5"/>
        <v>68630</v>
      </c>
    </row>
    <row r="32" spans="1:29" x14ac:dyDescent="0.25">
      <c r="A32" s="32" t="s">
        <v>289</v>
      </c>
      <c r="B32" s="30">
        <v>31</v>
      </c>
      <c r="C32" s="30" t="s">
        <v>266</v>
      </c>
      <c r="D32" s="33">
        <v>0</v>
      </c>
      <c r="E32" s="33">
        <v>0</v>
      </c>
      <c r="F32" s="33">
        <v>5826</v>
      </c>
      <c r="G32" s="33">
        <v>2265</v>
      </c>
      <c r="H32" s="33">
        <v>0</v>
      </c>
      <c r="I32" s="33">
        <v>0</v>
      </c>
      <c r="J32" s="33">
        <v>0</v>
      </c>
      <c r="K32" s="33">
        <v>0</v>
      </c>
      <c r="L32" s="33">
        <v>0</v>
      </c>
      <c r="M32" s="33">
        <v>0</v>
      </c>
      <c r="N32" s="33">
        <v>0</v>
      </c>
      <c r="O32" s="33">
        <v>1408</v>
      </c>
      <c r="P32" s="33">
        <v>0</v>
      </c>
      <c r="Q32" s="33">
        <v>2514</v>
      </c>
      <c r="R32" s="33">
        <v>3532</v>
      </c>
      <c r="S32" s="33">
        <v>0</v>
      </c>
      <c r="T32" s="33">
        <v>0</v>
      </c>
      <c r="U32" s="33">
        <v>0</v>
      </c>
      <c r="V32" s="33">
        <v>0</v>
      </c>
      <c r="W32" s="33">
        <v>4836</v>
      </c>
      <c r="X32" s="13">
        <f t="shared" si="0"/>
        <v>15545</v>
      </c>
      <c r="Y32" s="13">
        <f t="shared" si="1"/>
        <v>4836</v>
      </c>
      <c r="Z32" s="13">
        <f t="shared" si="2"/>
        <v>0</v>
      </c>
      <c r="AA32" s="13">
        <f t="shared" si="3"/>
        <v>339620</v>
      </c>
      <c r="AB32" s="13">
        <f t="shared" si="4"/>
        <v>185455</v>
      </c>
      <c r="AC32" s="13">
        <f t="shared" si="5"/>
        <v>68630</v>
      </c>
    </row>
    <row r="33" spans="1:29" x14ac:dyDescent="0.25">
      <c r="A33" s="32" t="s">
        <v>289</v>
      </c>
      <c r="B33" s="30">
        <v>32</v>
      </c>
      <c r="C33" s="30" t="s">
        <v>267</v>
      </c>
      <c r="D33" s="33">
        <v>0</v>
      </c>
      <c r="E33" s="33">
        <v>0</v>
      </c>
      <c r="F33" s="33">
        <v>4293</v>
      </c>
      <c r="G33" s="33">
        <v>1686</v>
      </c>
      <c r="H33" s="33">
        <v>0</v>
      </c>
      <c r="I33" s="33">
        <v>0</v>
      </c>
      <c r="J33" s="33">
        <v>0</v>
      </c>
      <c r="K33" s="33">
        <v>0</v>
      </c>
      <c r="L33" s="33">
        <v>0</v>
      </c>
      <c r="M33" s="33">
        <v>0</v>
      </c>
      <c r="N33" s="33">
        <v>0</v>
      </c>
      <c r="O33" s="33">
        <v>839</v>
      </c>
      <c r="P33" s="33">
        <v>0</v>
      </c>
      <c r="Q33" s="33">
        <v>2657</v>
      </c>
      <c r="R33" s="33">
        <v>3934</v>
      </c>
      <c r="S33" s="33">
        <v>0</v>
      </c>
      <c r="T33" s="33">
        <v>0</v>
      </c>
      <c r="U33" s="33">
        <v>0</v>
      </c>
      <c r="V33" s="33">
        <v>0</v>
      </c>
      <c r="W33" s="33">
        <v>6401</v>
      </c>
      <c r="X33" s="13">
        <f t="shared" si="0"/>
        <v>13409</v>
      </c>
      <c r="Y33" s="13">
        <f t="shared" si="1"/>
        <v>6401</v>
      </c>
      <c r="Z33" s="13">
        <f t="shared" si="2"/>
        <v>0</v>
      </c>
      <c r="AA33" s="13">
        <f t="shared" si="3"/>
        <v>353029</v>
      </c>
      <c r="AB33" s="13">
        <f t="shared" si="4"/>
        <v>191856</v>
      </c>
      <c r="AC33" s="13">
        <f t="shared" si="5"/>
        <v>68630</v>
      </c>
    </row>
    <row r="34" spans="1:29" x14ac:dyDescent="0.25">
      <c r="A34" s="32" t="s">
        <v>289</v>
      </c>
      <c r="B34" s="30">
        <v>33</v>
      </c>
      <c r="C34" s="30" t="s">
        <v>268</v>
      </c>
      <c r="D34" s="33">
        <v>0</v>
      </c>
      <c r="E34" s="33">
        <v>0</v>
      </c>
      <c r="F34" s="33">
        <v>4249</v>
      </c>
      <c r="G34" s="33">
        <v>1981</v>
      </c>
      <c r="H34" s="33">
        <v>0</v>
      </c>
      <c r="I34" s="33">
        <v>0</v>
      </c>
      <c r="J34" s="33">
        <v>0</v>
      </c>
      <c r="K34" s="33">
        <v>0</v>
      </c>
      <c r="L34" s="33">
        <v>0</v>
      </c>
      <c r="M34" s="33">
        <v>0</v>
      </c>
      <c r="N34" s="33">
        <v>0</v>
      </c>
      <c r="O34" s="33">
        <v>1507</v>
      </c>
      <c r="P34" s="33">
        <v>0</v>
      </c>
      <c r="Q34" s="33">
        <v>2443</v>
      </c>
      <c r="R34" s="33">
        <v>5693</v>
      </c>
      <c r="S34" s="33">
        <v>0</v>
      </c>
      <c r="T34" s="33">
        <v>0</v>
      </c>
      <c r="U34" s="33">
        <v>0</v>
      </c>
      <c r="V34" s="33">
        <v>0</v>
      </c>
      <c r="W34" s="33">
        <v>5783</v>
      </c>
      <c r="X34" s="13">
        <f t="shared" si="0"/>
        <v>15873</v>
      </c>
      <c r="Y34" s="13">
        <f t="shared" si="1"/>
        <v>5783</v>
      </c>
      <c r="Z34" s="13">
        <f t="shared" si="2"/>
        <v>0</v>
      </c>
      <c r="AA34" s="13">
        <f t="shared" si="3"/>
        <v>368902</v>
      </c>
      <c r="AB34" s="13">
        <f t="shared" si="4"/>
        <v>197639</v>
      </c>
      <c r="AC34" s="13">
        <f t="shared" si="5"/>
        <v>68630</v>
      </c>
    </row>
    <row r="35" spans="1:29" x14ac:dyDescent="0.25">
      <c r="A35" s="32" t="s">
        <v>289</v>
      </c>
      <c r="B35" s="30">
        <v>34</v>
      </c>
      <c r="C35" s="30" t="s">
        <v>269</v>
      </c>
      <c r="D35" s="33">
        <v>0</v>
      </c>
      <c r="E35" s="33">
        <v>0</v>
      </c>
      <c r="F35" s="33">
        <v>5254</v>
      </c>
      <c r="G35" s="33">
        <v>1599</v>
      </c>
      <c r="H35" s="33">
        <v>0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3">
        <v>0</v>
      </c>
      <c r="O35" s="33">
        <v>456</v>
      </c>
      <c r="P35" s="33">
        <v>0</v>
      </c>
      <c r="Q35" s="33">
        <v>2255</v>
      </c>
      <c r="R35" s="33">
        <v>3690</v>
      </c>
      <c r="S35" s="33">
        <v>0</v>
      </c>
      <c r="T35" s="33">
        <v>0</v>
      </c>
      <c r="U35" s="33">
        <v>0</v>
      </c>
      <c r="V35" s="33">
        <v>0</v>
      </c>
      <c r="W35" s="33">
        <v>3372</v>
      </c>
      <c r="X35" s="13">
        <f t="shared" si="0"/>
        <v>13254</v>
      </c>
      <c r="Y35" s="13">
        <f t="shared" si="1"/>
        <v>3372</v>
      </c>
      <c r="Z35" s="13">
        <f t="shared" si="2"/>
        <v>0</v>
      </c>
      <c r="AA35" s="13">
        <f t="shared" si="3"/>
        <v>382156</v>
      </c>
      <c r="AB35" s="13">
        <f t="shared" si="4"/>
        <v>201011</v>
      </c>
      <c r="AC35" s="13">
        <f t="shared" si="5"/>
        <v>68630</v>
      </c>
    </row>
    <row r="36" spans="1:29" x14ac:dyDescent="0.25">
      <c r="A36" s="32" t="s">
        <v>289</v>
      </c>
      <c r="B36" s="30">
        <v>35</v>
      </c>
      <c r="C36" s="30" t="s">
        <v>270</v>
      </c>
      <c r="D36" s="33">
        <v>0</v>
      </c>
      <c r="E36" s="33">
        <v>0</v>
      </c>
      <c r="F36" s="33">
        <v>2467</v>
      </c>
      <c r="G36" s="33">
        <v>1031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3">
        <v>0</v>
      </c>
      <c r="O36" s="33">
        <v>613</v>
      </c>
      <c r="P36" s="33">
        <v>0</v>
      </c>
      <c r="Q36" s="33">
        <v>1555</v>
      </c>
      <c r="R36" s="33">
        <v>282</v>
      </c>
      <c r="S36" s="33">
        <v>0</v>
      </c>
      <c r="T36" s="33">
        <v>0</v>
      </c>
      <c r="U36" s="33">
        <v>0</v>
      </c>
      <c r="V36" s="33">
        <v>0</v>
      </c>
      <c r="W36" s="33">
        <v>6063</v>
      </c>
      <c r="X36" s="13">
        <f t="shared" si="0"/>
        <v>5948</v>
      </c>
      <c r="Y36" s="13">
        <f t="shared" si="1"/>
        <v>6063</v>
      </c>
      <c r="Z36" s="13">
        <f t="shared" si="2"/>
        <v>0</v>
      </c>
      <c r="AA36" s="13">
        <f t="shared" si="3"/>
        <v>388104</v>
      </c>
      <c r="AB36" s="13">
        <f t="shared" si="4"/>
        <v>207074</v>
      </c>
      <c r="AC36" s="13">
        <f t="shared" si="5"/>
        <v>68630</v>
      </c>
    </row>
    <row r="37" spans="1:29" x14ac:dyDescent="0.25">
      <c r="A37" s="32" t="s">
        <v>289</v>
      </c>
      <c r="B37" s="30">
        <v>36</v>
      </c>
      <c r="C37" s="30" t="s">
        <v>271</v>
      </c>
      <c r="D37" s="33">
        <v>0</v>
      </c>
      <c r="E37" s="33">
        <v>0</v>
      </c>
      <c r="F37" s="33">
        <v>2172</v>
      </c>
      <c r="G37" s="33">
        <v>71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3">
        <v>0</v>
      </c>
      <c r="O37" s="33">
        <v>477</v>
      </c>
      <c r="P37" s="33">
        <v>0</v>
      </c>
      <c r="Q37" s="33">
        <v>806</v>
      </c>
      <c r="R37" s="33">
        <v>599</v>
      </c>
      <c r="S37" s="33">
        <v>0</v>
      </c>
      <c r="T37" s="33">
        <v>0</v>
      </c>
      <c r="U37" s="33">
        <v>0</v>
      </c>
      <c r="V37" s="33">
        <v>0</v>
      </c>
      <c r="W37" s="33">
        <v>2352</v>
      </c>
      <c r="X37" s="13">
        <f t="shared" si="0"/>
        <v>4125</v>
      </c>
      <c r="Y37" s="13">
        <f t="shared" si="1"/>
        <v>2352</v>
      </c>
      <c r="Z37" s="13">
        <f t="shared" si="2"/>
        <v>0</v>
      </c>
      <c r="AA37" s="13">
        <f t="shared" si="3"/>
        <v>392229</v>
      </c>
      <c r="AB37" s="13">
        <f t="shared" si="4"/>
        <v>209426</v>
      </c>
      <c r="AC37" s="13">
        <f t="shared" si="5"/>
        <v>68630</v>
      </c>
    </row>
    <row r="38" spans="1:29" x14ac:dyDescent="0.25">
      <c r="A38" s="32" t="s">
        <v>289</v>
      </c>
      <c r="B38" s="30">
        <v>37</v>
      </c>
      <c r="C38" s="30" t="s">
        <v>272</v>
      </c>
      <c r="D38" s="33">
        <v>0</v>
      </c>
      <c r="E38" s="33">
        <v>0</v>
      </c>
      <c r="F38" s="33">
        <v>4414</v>
      </c>
      <c r="G38" s="33">
        <v>1503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0</v>
      </c>
      <c r="P38" s="33">
        <v>0</v>
      </c>
      <c r="Q38" s="33">
        <v>1166</v>
      </c>
      <c r="R38" s="33">
        <v>4230</v>
      </c>
      <c r="S38" s="33">
        <v>0</v>
      </c>
      <c r="T38" s="33">
        <v>0</v>
      </c>
      <c r="U38" s="33">
        <v>0</v>
      </c>
      <c r="V38" s="33">
        <v>0</v>
      </c>
      <c r="W38" s="33">
        <v>6482</v>
      </c>
      <c r="X38" s="13">
        <f t="shared" si="0"/>
        <v>11313</v>
      </c>
      <c r="Y38" s="13">
        <f t="shared" si="1"/>
        <v>6482</v>
      </c>
      <c r="Z38" s="13">
        <f t="shared" si="2"/>
        <v>0</v>
      </c>
      <c r="AA38" s="13">
        <f t="shared" si="3"/>
        <v>403542</v>
      </c>
      <c r="AB38" s="13">
        <f t="shared" si="4"/>
        <v>215908</v>
      </c>
      <c r="AC38" s="13">
        <f t="shared" si="5"/>
        <v>68630</v>
      </c>
    </row>
    <row r="39" spans="1:29" x14ac:dyDescent="0.25">
      <c r="A39" s="32" t="s">
        <v>289</v>
      </c>
      <c r="B39" s="30">
        <v>38</v>
      </c>
      <c r="C39" s="30" t="s">
        <v>273</v>
      </c>
      <c r="D39" s="33">
        <v>0</v>
      </c>
      <c r="E39" s="33">
        <v>0</v>
      </c>
      <c r="F39" s="33">
        <v>5037</v>
      </c>
      <c r="G39" s="33">
        <v>1328</v>
      </c>
      <c r="H39" s="33">
        <v>0</v>
      </c>
      <c r="I39" s="33">
        <v>0</v>
      </c>
      <c r="J39" s="33">
        <v>0</v>
      </c>
      <c r="K39" s="33">
        <v>0</v>
      </c>
      <c r="L39" s="33">
        <v>0</v>
      </c>
      <c r="M39" s="33">
        <v>0</v>
      </c>
      <c r="N39" s="33">
        <v>0</v>
      </c>
      <c r="O39" s="33">
        <v>1110</v>
      </c>
      <c r="P39" s="33">
        <v>0</v>
      </c>
      <c r="Q39" s="33">
        <v>1385</v>
      </c>
      <c r="R39" s="33">
        <v>3719</v>
      </c>
      <c r="S39" s="33">
        <v>0</v>
      </c>
      <c r="T39" s="33">
        <v>0</v>
      </c>
      <c r="U39" s="33">
        <v>0</v>
      </c>
      <c r="V39" s="33">
        <v>0</v>
      </c>
      <c r="W39" s="33">
        <v>10529</v>
      </c>
      <c r="X39" s="13">
        <f t="shared" si="0"/>
        <v>12579</v>
      </c>
      <c r="Y39" s="13">
        <f t="shared" si="1"/>
        <v>10529</v>
      </c>
      <c r="Z39" s="13">
        <f t="shared" si="2"/>
        <v>0</v>
      </c>
      <c r="AA39" s="13">
        <f t="shared" si="3"/>
        <v>416121</v>
      </c>
      <c r="AB39" s="13">
        <f t="shared" si="4"/>
        <v>226437</v>
      </c>
      <c r="AC39" s="13">
        <f t="shared" si="5"/>
        <v>68630</v>
      </c>
    </row>
    <row r="40" spans="1:29" x14ac:dyDescent="0.25">
      <c r="A40" s="32" t="s">
        <v>289</v>
      </c>
      <c r="B40" s="30">
        <v>39</v>
      </c>
      <c r="C40" s="30" t="s">
        <v>274</v>
      </c>
      <c r="D40" s="33">
        <v>0</v>
      </c>
      <c r="E40" s="33">
        <v>0</v>
      </c>
      <c r="F40" s="33">
        <v>5358</v>
      </c>
      <c r="G40" s="33">
        <v>354</v>
      </c>
      <c r="H40" s="33">
        <v>0</v>
      </c>
      <c r="I40" s="33">
        <v>0</v>
      </c>
      <c r="J40" s="33">
        <v>0</v>
      </c>
      <c r="K40" s="33">
        <v>0</v>
      </c>
      <c r="L40" s="33">
        <v>0</v>
      </c>
      <c r="M40" s="33">
        <v>0</v>
      </c>
      <c r="N40" s="33">
        <v>0</v>
      </c>
      <c r="O40" s="33">
        <v>1524</v>
      </c>
      <c r="P40" s="33">
        <v>0</v>
      </c>
      <c r="Q40" s="33">
        <v>2838</v>
      </c>
      <c r="R40" s="33">
        <v>4386</v>
      </c>
      <c r="S40" s="33">
        <v>0</v>
      </c>
      <c r="T40" s="33">
        <v>0</v>
      </c>
      <c r="U40" s="33">
        <v>0</v>
      </c>
      <c r="V40" s="33">
        <v>0</v>
      </c>
      <c r="W40" s="33">
        <v>11144</v>
      </c>
      <c r="X40" s="13">
        <f t="shared" si="0"/>
        <v>14460</v>
      </c>
      <c r="Y40" s="13">
        <f t="shared" si="1"/>
        <v>11144</v>
      </c>
      <c r="Z40" s="13">
        <f t="shared" si="2"/>
        <v>0</v>
      </c>
      <c r="AA40" s="13">
        <f t="shared" si="3"/>
        <v>430581</v>
      </c>
      <c r="AB40" s="13">
        <f t="shared" si="4"/>
        <v>237581</v>
      </c>
      <c r="AC40" s="13">
        <f t="shared" si="5"/>
        <v>68630</v>
      </c>
    </row>
    <row r="41" spans="1:29" x14ac:dyDescent="0.25">
      <c r="A41" s="32" t="s">
        <v>289</v>
      </c>
      <c r="B41" s="30">
        <v>40</v>
      </c>
      <c r="C41" s="30" t="s">
        <v>275</v>
      </c>
      <c r="D41" s="33">
        <v>0</v>
      </c>
      <c r="E41" s="33">
        <v>0</v>
      </c>
      <c r="F41" s="33">
        <v>4211</v>
      </c>
      <c r="G41" s="33">
        <v>106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1985</v>
      </c>
      <c r="P41" s="33">
        <v>0</v>
      </c>
      <c r="Q41" s="33">
        <v>2352</v>
      </c>
      <c r="R41" s="33">
        <v>4231</v>
      </c>
      <c r="S41" s="33">
        <v>0</v>
      </c>
      <c r="T41" s="33">
        <v>0</v>
      </c>
      <c r="U41" s="33">
        <v>0</v>
      </c>
      <c r="V41" s="33">
        <v>0</v>
      </c>
      <c r="W41" s="33">
        <v>13043</v>
      </c>
      <c r="X41" s="13">
        <f t="shared" si="0"/>
        <v>12885</v>
      </c>
      <c r="Y41" s="13">
        <f t="shared" si="1"/>
        <v>13043</v>
      </c>
      <c r="Z41" s="13">
        <f t="shared" si="2"/>
        <v>0</v>
      </c>
      <c r="AA41" s="13">
        <f t="shared" si="3"/>
        <v>443466</v>
      </c>
      <c r="AB41" s="13">
        <f t="shared" si="4"/>
        <v>250624</v>
      </c>
      <c r="AC41" s="13">
        <f t="shared" si="5"/>
        <v>68630</v>
      </c>
    </row>
    <row r="42" spans="1:29" x14ac:dyDescent="0.25">
      <c r="A42" s="32" t="s">
        <v>289</v>
      </c>
      <c r="B42" s="30">
        <v>41</v>
      </c>
      <c r="C42" s="30" t="s">
        <v>276</v>
      </c>
      <c r="D42" s="33">
        <v>0</v>
      </c>
      <c r="E42" s="33">
        <v>0</v>
      </c>
      <c r="F42" s="33">
        <v>2812</v>
      </c>
      <c r="G42" s="33">
        <v>384</v>
      </c>
      <c r="H42" s="33">
        <v>0</v>
      </c>
      <c r="I42" s="33">
        <v>0</v>
      </c>
      <c r="J42" s="33">
        <v>0</v>
      </c>
      <c r="K42" s="33">
        <v>0</v>
      </c>
      <c r="L42" s="33">
        <v>0</v>
      </c>
      <c r="M42" s="33">
        <v>0</v>
      </c>
      <c r="N42" s="33">
        <v>0</v>
      </c>
      <c r="O42" s="33">
        <v>1348</v>
      </c>
      <c r="P42" s="33">
        <v>0</v>
      </c>
      <c r="Q42" s="33">
        <v>1706</v>
      </c>
      <c r="R42" s="33">
        <v>3516</v>
      </c>
      <c r="S42" s="33">
        <v>0</v>
      </c>
      <c r="T42" s="33">
        <v>0</v>
      </c>
      <c r="U42" s="33">
        <v>0</v>
      </c>
      <c r="V42" s="33">
        <v>0</v>
      </c>
      <c r="W42" s="33">
        <v>11128</v>
      </c>
      <c r="X42" s="13">
        <f t="shared" si="0"/>
        <v>9766</v>
      </c>
      <c r="Y42" s="13">
        <f t="shared" si="1"/>
        <v>11128</v>
      </c>
      <c r="Z42" s="13">
        <f t="shared" si="2"/>
        <v>0</v>
      </c>
      <c r="AA42" s="13">
        <f t="shared" si="3"/>
        <v>453232</v>
      </c>
      <c r="AB42" s="13">
        <f t="shared" si="4"/>
        <v>261752</v>
      </c>
      <c r="AC42" s="13">
        <f t="shared" si="5"/>
        <v>68630</v>
      </c>
    </row>
    <row r="43" spans="1:29" x14ac:dyDescent="0.25">
      <c r="A43" s="32" t="s">
        <v>289</v>
      </c>
      <c r="B43" s="30">
        <v>42</v>
      </c>
      <c r="C43" s="30" t="s">
        <v>277</v>
      </c>
      <c r="D43" s="33">
        <v>0</v>
      </c>
      <c r="E43" s="33">
        <v>0</v>
      </c>
      <c r="F43" s="33">
        <v>4036</v>
      </c>
      <c r="G43" s="33">
        <v>2568</v>
      </c>
      <c r="H43" s="33">
        <v>0</v>
      </c>
      <c r="I43" s="33">
        <v>0</v>
      </c>
      <c r="J43" s="33">
        <v>0</v>
      </c>
      <c r="K43" s="33">
        <v>0</v>
      </c>
      <c r="L43" s="33">
        <v>17007</v>
      </c>
      <c r="M43" s="33">
        <v>0</v>
      </c>
      <c r="N43" s="33">
        <v>0</v>
      </c>
      <c r="O43" s="33">
        <v>541</v>
      </c>
      <c r="P43" s="33">
        <v>0</v>
      </c>
      <c r="Q43" s="33">
        <v>2303</v>
      </c>
      <c r="R43" s="33">
        <v>3629</v>
      </c>
      <c r="S43" s="33">
        <v>0</v>
      </c>
      <c r="T43" s="33">
        <v>0</v>
      </c>
      <c r="U43" s="33">
        <v>0</v>
      </c>
      <c r="V43" s="33">
        <v>0</v>
      </c>
      <c r="W43" s="33">
        <v>10937</v>
      </c>
      <c r="X43" s="13">
        <f t="shared" si="0"/>
        <v>13077</v>
      </c>
      <c r="Y43" s="13">
        <f t="shared" si="1"/>
        <v>10937</v>
      </c>
      <c r="Z43" s="13">
        <f t="shared" si="2"/>
        <v>17007</v>
      </c>
      <c r="AA43" s="13">
        <f t="shared" si="3"/>
        <v>466309</v>
      </c>
      <c r="AB43" s="13">
        <f t="shared" si="4"/>
        <v>272689</v>
      </c>
      <c r="AC43" s="13">
        <f t="shared" si="5"/>
        <v>85637</v>
      </c>
    </row>
    <row r="44" spans="1:29" x14ac:dyDescent="0.25">
      <c r="A44" s="32" t="s">
        <v>289</v>
      </c>
      <c r="B44" s="30">
        <v>43</v>
      </c>
      <c r="C44" s="30" t="s">
        <v>278</v>
      </c>
      <c r="D44" s="33">
        <v>0</v>
      </c>
      <c r="E44" s="33">
        <v>0</v>
      </c>
      <c r="F44" s="33">
        <v>4118</v>
      </c>
      <c r="G44" s="33">
        <v>70</v>
      </c>
      <c r="H44" s="33">
        <v>0</v>
      </c>
      <c r="I44" s="33">
        <v>0</v>
      </c>
      <c r="J44" s="33">
        <v>0</v>
      </c>
      <c r="K44" s="33">
        <v>0</v>
      </c>
      <c r="L44" s="33">
        <v>29628</v>
      </c>
      <c r="M44" s="33">
        <v>0</v>
      </c>
      <c r="N44" s="33">
        <v>0</v>
      </c>
      <c r="O44" s="33">
        <v>702</v>
      </c>
      <c r="P44" s="33">
        <v>0</v>
      </c>
      <c r="Q44" s="33">
        <v>2987</v>
      </c>
      <c r="R44" s="33">
        <v>3356</v>
      </c>
      <c r="S44" s="33">
        <v>0</v>
      </c>
      <c r="T44" s="33">
        <v>0</v>
      </c>
      <c r="U44" s="33">
        <v>0</v>
      </c>
      <c r="V44" s="33">
        <v>0</v>
      </c>
      <c r="W44" s="33">
        <v>14951</v>
      </c>
      <c r="X44" s="13">
        <f t="shared" si="0"/>
        <v>11233</v>
      </c>
      <c r="Y44" s="13">
        <f t="shared" si="1"/>
        <v>14951</v>
      </c>
      <c r="Z44" s="13">
        <f t="shared" si="2"/>
        <v>29628</v>
      </c>
      <c r="AA44" s="13">
        <f t="shared" si="3"/>
        <v>477542</v>
      </c>
      <c r="AB44" s="13">
        <f t="shared" si="4"/>
        <v>287640</v>
      </c>
      <c r="AC44" s="13">
        <f t="shared" si="5"/>
        <v>115265</v>
      </c>
    </row>
    <row r="45" spans="1:29" x14ac:dyDescent="0.25">
      <c r="A45" s="32" t="s">
        <v>289</v>
      </c>
      <c r="B45" s="30">
        <v>44</v>
      </c>
      <c r="C45" s="30" t="s">
        <v>279</v>
      </c>
      <c r="D45" s="33">
        <v>0</v>
      </c>
      <c r="E45" s="33">
        <v>0</v>
      </c>
      <c r="F45" s="33">
        <v>3942</v>
      </c>
      <c r="G45" s="33">
        <v>1695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3">
        <v>0</v>
      </c>
      <c r="O45" s="33">
        <v>1232</v>
      </c>
      <c r="P45" s="33">
        <v>0</v>
      </c>
      <c r="Q45" s="33">
        <v>1810</v>
      </c>
      <c r="R45" s="33">
        <v>3046</v>
      </c>
      <c r="S45" s="33">
        <v>0</v>
      </c>
      <c r="T45" s="33">
        <v>0</v>
      </c>
      <c r="U45" s="33">
        <v>0</v>
      </c>
      <c r="V45" s="33">
        <v>0</v>
      </c>
      <c r="W45" s="33">
        <v>11922</v>
      </c>
      <c r="X45" s="13">
        <f t="shared" si="0"/>
        <v>11725</v>
      </c>
      <c r="Y45" s="13">
        <f t="shared" si="1"/>
        <v>11922</v>
      </c>
      <c r="Z45" s="13">
        <f t="shared" si="2"/>
        <v>0</v>
      </c>
      <c r="AA45" s="13">
        <f t="shared" si="3"/>
        <v>489267</v>
      </c>
      <c r="AB45" s="13">
        <f t="shared" si="4"/>
        <v>299562</v>
      </c>
      <c r="AC45" s="13">
        <f t="shared" si="5"/>
        <v>115265</v>
      </c>
    </row>
    <row r="46" spans="1:29" x14ac:dyDescent="0.25">
      <c r="A46" s="32" t="s">
        <v>289</v>
      </c>
      <c r="B46" s="30">
        <v>45</v>
      </c>
      <c r="C46" s="30" t="s">
        <v>280</v>
      </c>
      <c r="D46" s="33">
        <v>0</v>
      </c>
      <c r="E46" s="33">
        <v>0</v>
      </c>
      <c r="F46" s="33">
        <v>2792</v>
      </c>
      <c r="G46" s="33">
        <v>1508</v>
      </c>
      <c r="H46" s="33">
        <v>0</v>
      </c>
      <c r="I46" s="33">
        <v>0</v>
      </c>
      <c r="J46" s="33">
        <v>0</v>
      </c>
      <c r="K46" s="33">
        <v>0</v>
      </c>
      <c r="L46" s="33">
        <v>0</v>
      </c>
      <c r="M46" s="33">
        <v>0</v>
      </c>
      <c r="N46" s="33">
        <v>0</v>
      </c>
      <c r="O46" s="33">
        <v>547</v>
      </c>
      <c r="P46" s="33">
        <v>0</v>
      </c>
      <c r="Q46" s="33">
        <v>1727</v>
      </c>
      <c r="R46" s="33">
        <v>3044</v>
      </c>
      <c r="S46" s="33">
        <v>0</v>
      </c>
      <c r="T46" s="33">
        <v>0</v>
      </c>
      <c r="U46" s="33">
        <v>0</v>
      </c>
      <c r="V46" s="33">
        <v>0</v>
      </c>
      <c r="W46" s="33">
        <v>11736</v>
      </c>
      <c r="X46" s="13">
        <f t="shared" si="0"/>
        <v>9618</v>
      </c>
      <c r="Y46" s="13">
        <f t="shared" si="1"/>
        <v>11736</v>
      </c>
      <c r="Z46" s="13">
        <f t="shared" si="2"/>
        <v>0</v>
      </c>
      <c r="AA46" s="13">
        <f t="shared" si="3"/>
        <v>498885</v>
      </c>
      <c r="AB46" s="13">
        <f t="shared" si="4"/>
        <v>311298</v>
      </c>
      <c r="AC46" s="13">
        <f t="shared" si="5"/>
        <v>115265</v>
      </c>
    </row>
    <row r="47" spans="1:29" x14ac:dyDescent="0.25">
      <c r="A47" s="32" t="s">
        <v>289</v>
      </c>
      <c r="B47" s="30">
        <v>46</v>
      </c>
      <c r="C47" s="30" t="s">
        <v>281</v>
      </c>
      <c r="D47" s="33">
        <v>0</v>
      </c>
      <c r="E47" s="33">
        <v>0</v>
      </c>
      <c r="F47" s="33">
        <v>5584</v>
      </c>
      <c r="G47" s="33">
        <v>1044</v>
      </c>
      <c r="H47" s="33">
        <v>0</v>
      </c>
      <c r="I47" s="33">
        <v>0</v>
      </c>
      <c r="J47" s="33">
        <v>0</v>
      </c>
      <c r="K47" s="33">
        <v>0</v>
      </c>
      <c r="L47" s="33">
        <v>0</v>
      </c>
      <c r="M47" s="33">
        <v>0</v>
      </c>
      <c r="N47" s="33">
        <v>0</v>
      </c>
      <c r="O47" s="33">
        <v>745</v>
      </c>
      <c r="P47" s="33">
        <v>0</v>
      </c>
      <c r="Q47" s="33">
        <v>1497</v>
      </c>
      <c r="R47" s="33">
        <v>3823</v>
      </c>
      <c r="S47" s="33">
        <v>0</v>
      </c>
      <c r="T47" s="33">
        <v>0</v>
      </c>
      <c r="U47" s="33">
        <v>0</v>
      </c>
      <c r="V47" s="33">
        <v>0</v>
      </c>
      <c r="W47" s="33">
        <v>10701</v>
      </c>
      <c r="X47" s="13">
        <f t="shared" si="0"/>
        <v>12693</v>
      </c>
      <c r="Y47" s="13">
        <f t="shared" si="1"/>
        <v>10701</v>
      </c>
      <c r="Z47" s="13">
        <f t="shared" si="2"/>
        <v>0</v>
      </c>
      <c r="AA47" s="13">
        <f t="shared" si="3"/>
        <v>511578</v>
      </c>
      <c r="AB47" s="13">
        <f t="shared" si="4"/>
        <v>321999</v>
      </c>
      <c r="AC47" s="13">
        <f t="shared" si="5"/>
        <v>115265</v>
      </c>
    </row>
    <row r="48" spans="1:29" x14ac:dyDescent="0.25">
      <c r="A48" s="32" t="s">
        <v>289</v>
      </c>
      <c r="B48" s="30">
        <v>47</v>
      </c>
      <c r="C48" s="30" t="s">
        <v>282</v>
      </c>
      <c r="D48" s="33">
        <v>0</v>
      </c>
      <c r="E48" s="33">
        <v>0</v>
      </c>
      <c r="F48" s="33">
        <v>5088</v>
      </c>
      <c r="G48" s="33">
        <v>1492</v>
      </c>
      <c r="H48" s="33">
        <v>0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3">
        <v>0</v>
      </c>
      <c r="O48" s="33">
        <v>610</v>
      </c>
      <c r="P48" s="33">
        <v>0</v>
      </c>
      <c r="Q48" s="33">
        <v>2245</v>
      </c>
      <c r="R48" s="33">
        <v>4111</v>
      </c>
      <c r="S48" s="33">
        <v>0</v>
      </c>
      <c r="T48" s="33">
        <v>0</v>
      </c>
      <c r="U48" s="33">
        <v>0</v>
      </c>
      <c r="V48" s="33">
        <v>0</v>
      </c>
      <c r="W48" s="33">
        <v>9804</v>
      </c>
      <c r="X48" s="13">
        <f t="shared" si="0"/>
        <v>13546</v>
      </c>
      <c r="Y48" s="13">
        <f t="shared" si="1"/>
        <v>9804</v>
      </c>
      <c r="Z48" s="13">
        <f t="shared" si="2"/>
        <v>0</v>
      </c>
      <c r="AA48" s="13">
        <f t="shared" si="3"/>
        <v>525124</v>
      </c>
      <c r="AB48" s="13">
        <f t="shared" si="4"/>
        <v>331803</v>
      </c>
      <c r="AC48" s="13">
        <f t="shared" si="5"/>
        <v>115265</v>
      </c>
    </row>
    <row r="49" spans="1:29" x14ac:dyDescent="0.25">
      <c r="A49" s="32" t="s">
        <v>289</v>
      </c>
      <c r="B49" s="30">
        <v>48</v>
      </c>
      <c r="C49" s="30" t="s">
        <v>283</v>
      </c>
      <c r="D49" s="33">
        <v>0</v>
      </c>
      <c r="E49" s="33">
        <v>0</v>
      </c>
      <c r="F49" s="33">
        <v>7639</v>
      </c>
      <c r="G49" s="33">
        <v>923</v>
      </c>
      <c r="H49" s="33">
        <v>0</v>
      </c>
      <c r="I49" s="33">
        <v>0</v>
      </c>
      <c r="J49" s="33">
        <v>0</v>
      </c>
      <c r="K49" s="33">
        <v>0</v>
      </c>
      <c r="L49" s="33">
        <v>0</v>
      </c>
      <c r="M49" s="33">
        <v>0</v>
      </c>
      <c r="N49" s="33">
        <v>0</v>
      </c>
      <c r="O49" s="33">
        <v>3650</v>
      </c>
      <c r="P49" s="33">
        <v>0</v>
      </c>
      <c r="Q49" s="33">
        <v>1729</v>
      </c>
      <c r="R49" s="33">
        <v>4474</v>
      </c>
      <c r="S49" s="33">
        <v>0</v>
      </c>
      <c r="T49" s="33">
        <v>0</v>
      </c>
      <c r="U49" s="33">
        <v>0</v>
      </c>
      <c r="V49" s="33">
        <v>0</v>
      </c>
      <c r="W49" s="33">
        <v>9739</v>
      </c>
      <c r="X49" s="13">
        <f t="shared" si="0"/>
        <v>18415</v>
      </c>
      <c r="Y49" s="13">
        <f t="shared" si="1"/>
        <v>9739</v>
      </c>
      <c r="Z49" s="13">
        <f t="shared" si="2"/>
        <v>0</v>
      </c>
      <c r="AA49" s="13">
        <f t="shared" si="3"/>
        <v>543539</v>
      </c>
      <c r="AB49" s="13">
        <f t="shared" si="4"/>
        <v>341542</v>
      </c>
      <c r="AC49" s="13">
        <f t="shared" si="5"/>
        <v>115265</v>
      </c>
    </row>
    <row r="50" spans="1:29" x14ac:dyDescent="0.25">
      <c r="A50" s="32" t="s">
        <v>289</v>
      </c>
      <c r="B50" s="30">
        <v>49</v>
      </c>
      <c r="C50" s="30" t="s">
        <v>284</v>
      </c>
      <c r="D50" s="33">
        <v>0</v>
      </c>
      <c r="E50" s="33">
        <v>0</v>
      </c>
      <c r="F50" s="33">
        <v>3782</v>
      </c>
      <c r="G50" s="33">
        <v>2242</v>
      </c>
      <c r="H50" s="33">
        <v>0</v>
      </c>
      <c r="I50" s="33">
        <v>0</v>
      </c>
      <c r="J50" s="33">
        <v>0</v>
      </c>
      <c r="K50" s="33">
        <v>0</v>
      </c>
      <c r="L50" s="33">
        <v>6536</v>
      </c>
      <c r="M50" s="33">
        <v>0</v>
      </c>
      <c r="N50" s="33">
        <v>0</v>
      </c>
      <c r="O50" s="33">
        <v>475</v>
      </c>
      <c r="P50" s="33">
        <v>0</v>
      </c>
      <c r="Q50" s="33">
        <v>867</v>
      </c>
      <c r="R50" s="33">
        <v>2506</v>
      </c>
      <c r="S50" s="33">
        <v>0</v>
      </c>
      <c r="T50" s="33">
        <v>0</v>
      </c>
      <c r="U50" s="33">
        <v>0</v>
      </c>
      <c r="V50" s="33">
        <v>0</v>
      </c>
      <c r="W50" s="33">
        <v>8526</v>
      </c>
      <c r="X50" s="13">
        <f t="shared" si="0"/>
        <v>9872</v>
      </c>
      <c r="Y50" s="13">
        <f t="shared" si="1"/>
        <v>8526</v>
      </c>
      <c r="Z50" s="13">
        <f t="shared" si="2"/>
        <v>6536</v>
      </c>
      <c r="AA50" s="13">
        <f t="shared" si="3"/>
        <v>553411</v>
      </c>
      <c r="AB50" s="13">
        <f t="shared" si="4"/>
        <v>350068</v>
      </c>
      <c r="AC50" s="13">
        <f t="shared" si="5"/>
        <v>121801</v>
      </c>
    </row>
    <row r="51" spans="1:29" x14ac:dyDescent="0.25">
      <c r="A51" s="32" t="s">
        <v>289</v>
      </c>
      <c r="B51" s="30">
        <v>50</v>
      </c>
      <c r="C51" s="30" t="s">
        <v>285</v>
      </c>
      <c r="D51" s="33">
        <v>0</v>
      </c>
      <c r="E51" s="33">
        <v>0</v>
      </c>
      <c r="F51" s="33">
        <v>3881</v>
      </c>
      <c r="G51" s="33">
        <v>1558</v>
      </c>
      <c r="H51" s="33">
        <v>0</v>
      </c>
      <c r="I51" s="33">
        <v>0</v>
      </c>
      <c r="J51" s="33">
        <v>0</v>
      </c>
      <c r="K51" s="33">
        <v>0</v>
      </c>
      <c r="L51" s="33">
        <v>26114</v>
      </c>
      <c r="M51" s="33">
        <v>0</v>
      </c>
      <c r="N51" s="33">
        <v>0</v>
      </c>
      <c r="O51" s="33">
        <v>137</v>
      </c>
      <c r="P51" s="33">
        <v>0</v>
      </c>
      <c r="Q51" s="33">
        <v>1322</v>
      </c>
      <c r="R51" s="33">
        <v>3224</v>
      </c>
      <c r="S51" s="33">
        <v>0</v>
      </c>
      <c r="T51" s="33">
        <v>0</v>
      </c>
      <c r="U51" s="33">
        <v>0</v>
      </c>
      <c r="V51" s="33">
        <v>0</v>
      </c>
      <c r="W51" s="33">
        <v>6809</v>
      </c>
      <c r="X51" s="13">
        <f t="shared" si="0"/>
        <v>10122</v>
      </c>
      <c r="Y51" s="13">
        <f t="shared" si="1"/>
        <v>6809</v>
      </c>
      <c r="Z51" s="13">
        <f t="shared" si="2"/>
        <v>26114</v>
      </c>
      <c r="AA51" s="13">
        <f t="shared" si="3"/>
        <v>563533</v>
      </c>
      <c r="AB51" s="13">
        <f t="shared" si="4"/>
        <v>356877</v>
      </c>
      <c r="AC51" s="13">
        <f t="shared" si="5"/>
        <v>147915</v>
      </c>
    </row>
    <row r="52" spans="1:29" x14ac:dyDescent="0.25">
      <c r="A52" s="32" t="s">
        <v>289</v>
      </c>
      <c r="B52" s="30">
        <v>51</v>
      </c>
      <c r="C52" s="30" t="s">
        <v>286</v>
      </c>
      <c r="D52" s="33">
        <v>0</v>
      </c>
      <c r="E52" s="33">
        <v>0</v>
      </c>
      <c r="F52" s="33">
        <v>4544</v>
      </c>
      <c r="G52" s="33">
        <v>2432</v>
      </c>
      <c r="H52" s="33">
        <v>0</v>
      </c>
      <c r="I52" s="33">
        <v>0</v>
      </c>
      <c r="J52" s="33">
        <v>0</v>
      </c>
      <c r="K52" s="33">
        <v>0</v>
      </c>
      <c r="L52" s="33">
        <v>0</v>
      </c>
      <c r="M52" s="33">
        <v>0</v>
      </c>
      <c r="N52" s="33">
        <v>0</v>
      </c>
      <c r="O52" s="33">
        <v>613</v>
      </c>
      <c r="P52" s="33">
        <v>0</v>
      </c>
      <c r="Q52" s="33">
        <v>1543</v>
      </c>
      <c r="R52" s="33">
        <v>5195</v>
      </c>
      <c r="S52" s="33">
        <v>0</v>
      </c>
      <c r="T52" s="33">
        <v>0</v>
      </c>
      <c r="U52" s="33">
        <v>0</v>
      </c>
      <c r="V52" s="33">
        <v>0</v>
      </c>
      <c r="W52" s="33">
        <v>5618</v>
      </c>
      <c r="X52" s="13">
        <f t="shared" si="0"/>
        <v>14327</v>
      </c>
      <c r="Y52" s="13">
        <f t="shared" si="1"/>
        <v>5618</v>
      </c>
      <c r="Z52" s="13">
        <f t="shared" si="2"/>
        <v>0</v>
      </c>
      <c r="AA52" s="13">
        <f t="shared" si="3"/>
        <v>577860</v>
      </c>
      <c r="AB52" s="13">
        <f t="shared" si="4"/>
        <v>362495</v>
      </c>
      <c r="AC52" s="13">
        <f t="shared" si="5"/>
        <v>147915</v>
      </c>
    </row>
    <row r="53" spans="1:29" x14ac:dyDescent="0.25">
      <c r="A53" s="32" t="s">
        <v>289</v>
      </c>
      <c r="B53" s="30">
        <v>52</v>
      </c>
      <c r="C53" s="30" t="s">
        <v>287</v>
      </c>
      <c r="D53" s="33">
        <v>0</v>
      </c>
      <c r="E53" s="33">
        <v>0</v>
      </c>
      <c r="F53" s="33">
        <v>4456</v>
      </c>
      <c r="G53" s="33">
        <v>1905</v>
      </c>
      <c r="H53" s="33">
        <v>0</v>
      </c>
      <c r="I53" s="33">
        <v>0</v>
      </c>
      <c r="J53" s="33">
        <v>0</v>
      </c>
      <c r="K53" s="33">
        <v>0</v>
      </c>
      <c r="L53" s="33">
        <v>0</v>
      </c>
      <c r="M53" s="33">
        <v>0</v>
      </c>
      <c r="N53" s="33">
        <v>0</v>
      </c>
      <c r="O53" s="33">
        <v>543</v>
      </c>
      <c r="P53" s="33">
        <v>0</v>
      </c>
      <c r="Q53" s="33">
        <v>1886</v>
      </c>
      <c r="R53" s="33">
        <v>3854</v>
      </c>
      <c r="S53" s="33">
        <v>0</v>
      </c>
      <c r="T53" s="33">
        <v>0</v>
      </c>
      <c r="U53" s="33">
        <v>0</v>
      </c>
      <c r="V53" s="33">
        <v>0</v>
      </c>
      <c r="W53" s="33">
        <v>5208</v>
      </c>
      <c r="X53" s="13">
        <f t="shared" si="0"/>
        <v>12644</v>
      </c>
      <c r="Y53" s="13">
        <f t="shared" si="1"/>
        <v>5208</v>
      </c>
      <c r="Z53" s="13">
        <f t="shared" si="2"/>
        <v>0</v>
      </c>
      <c r="AA53" s="13">
        <f t="shared" si="3"/>
        <v>590504</v>
      </c>
      <c r="AB53" s="13">
        <f t="shared" si="4"/>
        <v>367703</v>
      </c>
      <c r="AC53" s="13">
        <f t="shared" si="5"/>
        <v>147915</v>
      </c>
    </row>
    <row r="54" spans="1:29" x14ac:dyDescent="0.25">
      <c r="A54" s="32" t="s">
        <v>289</v>
      </c>
      <c r="B54" s="30">
        <v>53</v>
      </c>
      <c r="C54" s="30" t="s">
        <v>288</v>
      </c>
      <c r="D54" s="33">
        <v>0</v>
      </c>
      <c r="E54" s="33">
        <v>0</v>
      </c>
      <c r="F54" s="33">
        <v>3544</v>
      </c>
      <c r="G54" s="33">
        <v>3116</v>
      </c>
      <c r="H54" s="33">
        <v>0</v>
      </c>
      <c r="I54" s="33">
        <v>0</v>
      </c>
      <c r="J54" s="33">
        <v>0</v>
      </c>
      <c r="K54" s="33">
        <v>0</v>
      </c>
      <c r="L54" s="33">
        <v>0</v>
      </c>
      <c r="M54" s="33">
        <v>0</v>
      </c>
      <c r="N54" s="33">
        <v>0</v>
      </c>
      <c r="O54" s="33">
        <v>1474</v>
      </c>
      <c r="P54" s="33">
        <v>0</v>
      </c>
      <c r="Q54" s="33">
        <v>486</v>
      </c>
      <c r="R54" s="33">
        <v>3670</v>
      </c>
      <c r="S54" s="33">
        <v>0</v>
      </c>
      <c r="T54" s="33">
        <v>0</v>
      </c>
      <c r="U54" s="33">
        <v>0</v>
      </c>
      <c r="V54" s="33">
        <v>0</v>
      </c>
      <c r="W54" s="33">
        <v>3239</v>
      </c>
      <c r="X54" s="13">
        <f t="shared" si="0"/>
        <v>12290</v>
      </c>
      <c r="Y54" s="13">
        <f t="shared" si="1"/>
        <v>3239</v>
      </c>
      <c r="Z54" s="13">
        <f t="shared" si="2"/>
        <v>0</v>
      </c>
      <c r="AA54" s="13">
        <f t="shared" si="3"/>
        <v>602794</v>
      </c>
      <c r="AB54" s="13">
        <f t="shared" si="4"/>
        <v>370942</v>
      </c>
      <c r="AC54" s="13">
        <f t="shared" si="5"/>
        <v>147915</v>
      </c>
    </row>
    <row r="55" spans="1:29" x14ac:dyDescent="0.25">
      <c r="A55" s="35" t="s">
        <v>179</v>
      </c>
      <c r="B55" s="36">
        <v>1</v>
      </c>
      <c r="C55" s="36" t="s">
        <v>180</v>
      </c>
      <c r="D55" s="37">
        <v>0</v>
      </c>
      <c r="E55" s="37">
        <v>0</v>
      </c>
      <c r="F55" s="37">
        <v>4975</v>
      </c>
      <c r="G55" s="37">
        <v>1142</v>
      </c>
      <c r="H55" s="37">
        <v>0</v>
      </c>
      <c r="I55" s="37">
        <v>0</v>
      </c>
      <c r="J55" s="37">
        <v>0</v>
      </c>
      <c r="K55" s="37">
        <v>0</v>
      </c>
      <c r="L55" s="37">
        <v>0</v>
      </c>
      <c r="M55" s="37">
        <v>0</v>
      </c>
      <c r="N55" s="37">
        <v>0</v>
      </c>
      <c r="O55" s="37">
        <v>539</v>
      </c>
      <c r="P55" s="37">
        <v>0</v>
      </c>
      <c r="Q55" s="37">
        <v>1000</v>
      </c>
      <c r="R55" s="37">
        <v>3191</v>
      </c>
      <c r="S55" s="37">
        <v>0</v>
      </c>
      <c r="T55" s="37">
        <v>0</v>
      </c>
      <c r="U55" s="37">
        <v>0</v>
      </c>
      <c r="V55" s="37">
        <v>0</v>
      </c>
      <c r="W55" s="37">
        <v>1949</v>
      </c>
      <c r="X55" s="42">
        <f t="shared" si="0"/>
        <v>10847</v>
      </c>
      <c r="Y55" s="42">
        <f t="shared" si="1"/>
        <v>1949</v>
      </c>
      <c r="Z55" s="42">
        <f t="shared" si="2"/>
        <v>0</v>
      </c>
      <c r="AA55" s="42">
        <f>X55</f>
        <v>10847</v>
      </c>
      <c r="AB55" s="42">
        <f>Y55</f>
        <v>1949</v>
      </c>
      <c r="AC55" s="42">
        <f>Z55</f>
        <v>0</v>
      </c>
    </row>
    <row r="56" spans="1:29" x14ac:dyDescent="0.25">
      <c r="A56" s="32" t="s">
        <v>179</v>
      </c>
      <c r="B56" s="30">
        <v>2</v>
      </c>
      <c r="C56" s="30" t="s">
        <v>181</v>
      </c>
      <c r="D56" s="33">
        <v>0</v>
      </c>
      <c r="E56" s="33">
        <v>0</v>
      </c>
      <c r="F56" s="33">
        <v>5303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3">
        <v>0</v>
      </c>
      <c r="O56" s="33">
        <v>447</v>
      </c>
      <c r="P56" s="33">
        <v>0</v>
      </c>
      <c r="Q56" s="33">
        <v>1695</v>
      </c>
      <c r="R56" s="33">
        <v>2480</v>
      </c>
      <c r="S56" s="33">
        <v>0</v>
      </c>
      <c r="T56" s="33">
        <v>0</v>
      </c>
      <c r="U56" s="33">
        <v>0</v>
      </c>
      <c r="V56" s="33">
        <v>0</v>
      </c>
      <c r="W56" s="33">
        <v>921</v>
      </c>
      <c r="X56" s="13">
        <f t="shared" si="0"/>
        <v>9925</v>
      </c>
      <c r="Y56" s="13">
        <f t="shared" si="1"/>
        <v>921</v>
      </c>
      <c r="Z56" s="13">
        <f t="shared" si="2"/>
        <v>0</v>
      </c>
      <c r="AA56" s="13">
        <f>AA55+X56</f>
        <v>20772</v>
      </c>
      <c r="AB56" s="13">
        <f>AB55+Y56</f>
        <v>2870</v>
      </c>
      <c r="AC56" s="13">
        <f>AC55+Z56</f>
        <v>0</v>
      </c>
    </row>
    <row r="57" spans="1:29" x14ac:dyDescent="0.25">
      <c r="A57" s="32" t="s">
        <v>179</v>
      </c>
      <c r="B57" s="30">
        <v>3</v>
      </c>
      <c r="C57" s="30" t="s">
        <v>182</v>
      </c>
      <c r="D57" s="33">
        <v>0</v>
      </c>
      <c r="E57" s="33">
        <v>0</v>
      </c>
      <c r="F57" s="33">
        <v>6249</v>
      </c>
      <c r="G57" s="33">
        <v>316</v>
      </c>
      <c r="H57" s="33">
        <v>0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3">
        <v>0</v>
      </c>
      <c r="O57" s="33">
        <v>536</v>
      </c>
      <c r="P57" s="33">
        <v>0</v>
      </c>
      <c r="Q57" s="33">
        <v>1001</v>
      </c>
      <c r="R57" s="33">
        <v>0</v>
      </c>
      <c r="S57" s="33">
        <v>0</v>
      </c>
      <c r="T57" s="33">
        <v>0</v>
      </c>
      <c r="U57" s="33">
        <v>0</v>
      </c>
      <c r="V57" s="33">
        <v>0</v>
      </c>
      <c r="W57" s="33">
        <v>1256</v>
      </c>
      <c r="X57" s="13">
        <f t="shared" si="0"/>
        <v>8102</v>
      </c>
      <c r="Y57" s="13">
        <f t="shared" si="1"/>
        <v>1256</v>
      </c>
      <c r="Z57" s="13">
        <f t="shared" si="2"/>
        <v>0</v>
      </c>
      <c r="AA57" s="13">
        <f t="shared" ref="AA57:AA106" si="6">AA56+X57</f>
        <v>28874</v>
      </c>
      <c r="AB57" s="13">
        <f t="shared" ref="AB57:AB106" si="7">AB56+Y57</f>
        <v>4126</v>
      </c>
      <c r="AC57" s="13">
        <f t="shared" ref="AC57:AC106" si="8">AC56+Z57</f>
        <v>0</v>
      </c>
    </row>
    <row r="58" spans="1:29" x14ac:dyDescent="0.25">
      <c r="A58" s="32" t="s">
        <v>179</v>
      </c>
      <c r="B58" s="30">
        <v>4</v>
      </c>
      <c r="C58" s="30" t="s">
        <v>183</v>
      </c>
      <c r="D58" s="33">
        <v>0</v>
      </c>
      <c r="E58" s="33">
        <v>0</v>
      </c>
      <c r="F58" s="33">
        <v>2721</v>
      </c>
      <c r="G58" s="33">
        <v>1985</v>
      </c>
      <c r="H58" s="33">
        <v>0</v>
      </c>
      <c r="I58" s="33">
        <v>0</v>
      </c>
      <c r="J58" s="33">
        <v>0</v>
      </c>
      <c r="K58" s="33">
        <v>0</v>
      </c>
      <c r="L58" s="33">
        <v>0</v>
      </c>
      <c r="M58" s="33">
        <v>0</v>
      </c>
      <c r="N58" s="33">
        <v>0</v>
      </c>
      <c r="O58" s="33">
        <v>273</v>
      </c>
      <c r="P58" s="33">
        <v>0</v>
      </c>
      <c r="Q58" s="33">
        <v>2097</v>
      </c>
      <c r="R58" s="33">
        <v>257</v>
      </c>
      <c r="S58" s="33">
        <v>0</v>
      </c>
      <c r="T58" s="33">
        <v>0</v>
      </c>
      <c r="U58" s="33">
        <v>0</v>
      </c>
      <c r="V58" s="33">
        <v>0</v>
      </c>
      <c r="W58" s="33">
        <v>475</v>
      </c>
      <c r="X58" s="13">
        <f t="shared" si="0"/>
        <v>7333</v>
      </c>
      <c r="Y58" s="13">
        <f t="shared" si="1"/>
        <v>475</v>
      </c>
      <c r="Z58" s="13">
        <f t="shared" si="2"/>
        <v>0</v>
      </c>
      <c r="AA58" s="13">
        <f t="shared" si="6"/>
        <v>36207</v>
      </c>
      <c r="AB58" s="13">
        <f t="shared" si="7"/>
        <v>4601</v>
      </c>
      <c r="AC58" s="13">
        <f t="shared" si="8"/>
        <v>0</v>
      </c>
    </row>
    <row r="59" spans="1:29" x14ac:dyDescent="0.25">
      <c r="A59" s="32" t="s">
        <v>179</v>
      </c>
      <c r="B59" s="30">
        <v>5</v>
      </c>
      <c r="C59" s="30" t="s">
        <v>184</v>
      </c>
      <c r="D59" s="33">
        <v>0</v>
      </c>
      <c r="E59" s="33">
        <v>0</v>
      </c>
      <c r="F59" s="33">
        <v>3875</v>
      </c>
      <c r="G59" s="33">
        <v>546</v>
      </c>
      <c r="H59" s="33">
        <v>0</v>
      </c>
      <c r="I59" s="33">
        <v>0</v>
      </c>
      <c r="J59" s="33">
        <v>0</v>
      </c>
      <c r="K59" s="33">
        <v>0</v>
      </c>
      <c r="L59" s="33">
        <v>0</v>
      </c>
      <c r="M59" s="33">
        <v>0</v>
      </c>
      <c r="N59" s="33">
        <v>0</v>
      </c>
      <c r="O59" s="33">
        <v>745</v>
      </c>
      <c r="P59" s="33">
        <v>0</v>
      </c>
      <c r="Q59" s="33">
        <v>1158</v>
      </c>
      <c r="R59" s="33">
        <v>0</v>
      </c>
      <c r="S59" s="33">
        <v>0</v>
      </c>
      <c r="T59" s="33">
        <v>0</v>
      </c>
      <c r="U59" s="33">
        <v>0</v>
      </c>
      <c r="V59" s="33">
        <v>0</v>
      </c>
      <c r="W59" s="33">
        <v>11</v>
      </c>
      <c r="X59" s="13">
        <f t="shared" si="0"/>
        <v>6324</v>
      </c>
      <c r="Y59" s="13">
        <f t="shared" si="1"/>
        <v>11</v>
      </c>
      <c r="Z59" s="13">
        <f t="shared" si="2"/>
        <v>0</v>
      </c>
      <c r="AA59" s="13">
        <f t="shared" si="6"/>
        <v>42531</v>
      </c>
      <c r="AB59" s="13">
        <f t="shared" si="7"/>
        <v>4612</v>
      </c>
      <c r="AC59" s="13">
        <f t="shared" si="8"/>
        <v>0</v>
      </c>
    </row>
    <row r="60" spans="1:29" x14ac:dyDescent="0.25">
      <c r="A60" s="32" t="s">
        <v>179</v>
      </c>
      <c r="B60" s="30">
        <v>6</v>
      </c>
      <c r="C60" s="30" t="s">
        <v>185</v>
      </c>
      <c r="D60" s="33">
        <v>0</v>
      </c>
      <c r="E60" s="33">
        <v>0</v>
      </c>
      <c r="F60" s="33">
        <v>5146</v>
      </c>
      <c r="G60" s="33">
        <v>278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649</v>
      </c>
      <c r="P60" s="33">
        <v>0</v>
      </c>
      <c r="Q60" s="33">
        <v>1441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X60" s="13">
        <f t="shared" si="0"/>
        <v>7514</v>
      </c>
      <c r="Y60" s="13">
        <f t="shared" si="1"/>
        <v>0</v>
      </c>
      <c r="Z60" s="13">
        <f t="shared" si="2"/>
        <v>0</v>
      </c>
      <c r="AA60" s="13">
        <f t="shared" si="6"/>
        <v>50045</v>
      </c>
      <c r="AB60" s="13">
        <f t="shared" si="7"/>
        <v>4612</v>
      </c>
      <c r="AC60" s="13">
        <f t="shared" si="8"/>
        <v>0</v>
      </c>
    </row>
    <row r="61" spans="1:29" x14ac:dyDescent="0.25">
      <c r="A61" s="32" t="s">
        <v>179</v>
      </c>
      <c r="B61" s="30">
        <v>7</v>
      </c>
      <c r="C61" s="30" t="s">
        <v>186</v>
      </c>
      <c r="D61" s="33">
        <v>0</v>
      </c>
      <c r="E61" s="33">
        <v>0</v>
      </c>
      <c r="F61" s="33">
        <v>4576</v>
      </c>
      <c r="G61" s="33">
        <v>312</v>
      </c>
      <c r="H61" s="33">
        <v>0</v>
      </c>
      <c r="I61" s="33">
        <v>0</v>
      </c>
      <c r="J61" s="33">
        <v>0</v>
      </c>
      <c r="K61" s="33">
        <v>0</v>
      </c>
      <c r="L61" s="33">
        <v>0</v>
      </c>
      <c r="M61" s="33">
        <v>0</v>
      </c>
      <c r="N61" s="33">
        <v>0</v>
      </c>
      <c r="O61" s="33">
        <v>1184</v>
      </c>
      <c r="P61" s="33">
        <v>0</v>
      </c>
      <c r="Q61" s="33">
        <v>952</v>
      </c>
      <c r="R61" s="33">
        <v>0</v>
      </c>
      <c r="S61" s="33">
        <v>0</v>
      </c>
      <c r="T61" s="33">
        <v>0</v>
      </c>
      <c r="U61" s="33">
        <v>0</v>
      </c>
      <c r="V61" s="33">
        <v>0</v>
      </c>
      <c r="W61" s="33">
        <v>4</v>
      </c>
      <c r="X61" s="13">
        <f t="shared" si="0"/>
        <v>7024</v>
      </c>
      <c r="Y61" s="13">
        <f t="shared" si="1"/>
        <v>4</v>
      </c>
      <c r="Z61" s="13">
        <f t="shared" si="2"/>
        <v>0</v>
      </c>
      <c r="AA61" s="13">
        <f t="shared" si="6"/>
        <v>57069</v>
      </c>
      <c r="AB61" s="13">
        <f t="shared" si="7"/>
        <v>4616</v>
      </c>
      <c r="AC61" s="13">
        <f t="shared" si="8"/>
        <v>0</v>
      </c>
    </row>
    <row r="62" spans="1:29" x14ac:dyDescent="0.25">
      <c r="A62" s="32" t="s">
        <v>179</v>
      </c>
      <c r="B62" s="30">
        <v>8</v>
      </c>
      <c r="C62" s="30" t="s">
        <v>187</v>
      </c>
      <c r="D62" s="33">
        <v>0</v>
      </c>
      <c r="E62" s="33">
        <v>0</v>
      </c>
      <c r="F62" s="33">
        <v>4424</v>
      </c>
      <c r="G62" s="33">
        <v>481</v>
      </c>
      <c r="H62" s="33">
        <v>0</v>
      </c>
      <c r="I62" s="33">
        <v>0</v>
      </c>
      <c r="J62" s="33">
        <v>0</v>
      </c>
      <c r="K62" s="33">
        <v>0</v>
      </c>
      <c r="L62" s="33">
        <v>0</v>
      </c>
      <c r="M62" s="33">
        <v>0</v>
      </c>
      <c r="N62" s="33">
        <v>0</v>
      </c>
      <c r="O62" s="33">
        <v>1209</v>
      </c>
      <c r="P62" s="33">
        <v>0</v>
      </c>
      <c r="Q62" s="33">
        <v>1618</v>
      </c>
      <c r="R62" s="33">
        <v>104</v>
      </c>
      <c r="S62" s="33">
        <v>0</v>
      </c>
      <c r="T62" s="33">
        <v>0</v>
      </c>
      <c r="U62" s="33">
        <v>0</v>
      </c>
      <c r="V62" s="33">
        <v>0</v>
      </c>
      <c r="W62" s="33">
        <v>0</v>
      </c>
      <c r="X62" s="13">
        <f t="shared" si="0"/>
        <v>7836</v>
      </c>
      <c r="Y62" s="13">
        <f t="shared" si="1"/>
        <v>0</v>
      </c>
      <c r="Z62" s="13">
        <f t="shared" si="2"/>
        <v>0</v>
      </c>
      <c r="AA62" s="13">
        <f t="shared" si="6"/>
        <v>64905</v>
      </c>
      <c r="AB62" s="13">
        <f t="shared" si="7"/>
        <v>4616</v>
      </c>
      <c r="AC62" s="13">
        <f t="shared" si="8"/>
        <v>0</v>
      </c>
    </row>
    <row r="63" spans="1:29" x14ac:dyDescent="0.25">
      <c r="A63" s="32" t="s">
        <v>179</v>
      </c>
      <c r="B63" s="30">
        <v>9</v>
      </c>
      <c r="C63" s="30" t="s">
        <v>188</v>
      </c>
      <c r="D63" s="33">
        <v>0</v>
      </c>
      <c r="E63" s="33">
        <v>0</v>
      </c>
      <c r="F63" s="33">
        <v>3660</v>
      </c>
      <c r="G63" s="33">
        <v>107</v>
      </c>
      <c r="H63" s="33">
        <v>0</v>
      </c>
      <c r="I63" s="33">
        <v>0</v>
      </c>
      <c r="J63" s="33">
        <v>0</v>
      </c>
      <c r="K63" s="33">
        <v>0</v>
      </c>
      <c r="L63" s="33">
        <v>0</v>
      </c>
      <c r="M63" s="33">
        <v>0</v>
      </c>
      <c r="N63" s="33">
        <v>0</v>
      </c>
      <c r="O63" s="33">
        <v>584</v>
      </c>
      <c r="P63" s="33">
        <v>0</v>
      </c>
      <c r="Q63" s="33">
        <v>1330</v>
      </c>
      <c r="R63" s="33">
        <v>0</v>
      </c>
      <c r="S63" s="33">
        <v>0</v>
      </c>
      <c r="T63" s="33">
        <v>0</v>
      </c>
      <c r="U63" s="33">
        <v>0</v>
      </c>
      <c r="V63" s="33">
        <v>0</v>
      </c>
      <c r="W63" s="33">
        <v>0</v>
      </c>
      <c r="X63" s="13">
        <f t="shared" si="0"/>
        <v>5681</v>
      </c>
      <c r="Y63" s="13">
        <f t="shared" si="1"/>
        <v>0</v>
      </c>
      <c r="Z63" s="13">
        <f t="shared" si="2"/>
        <v>0</v>
      </c>
      <c r="AA63" s="13">
        <f t="shared" si="6"/>
        <v>70586</v>
      </c>
      <c r="AB63" s="13">
        <f t="shared" si="7"/>
        <v>4616</v>
      </c>
      <c r="AC63" s="13">
        <f t="shared" si="8"/>
        <v>0</v>
      </c>
    </row>
    <row r="64" spans="1:29" x14ac:dyDescent="0.25">
      <c r="A64" s="32" t="s">
        <v>179</v>
      </c>
      <c r="B64" s="30">
        <v>10</v>
      </c>
      <c r="C64" s="30" t="s">
        <v>189</v>
      </c>
      <c r="D64" s="33">
        <v>0</v>
      </c>
      <c r="E64" s="33">
        <v>0</v>
      </c>
      <c r="F64" s="33">
        <v>4562</v>
      </c>
      <c r="G64" s="33">
        <v>35</v>
      </c>
      <c r="H64" s="33">
        <v>0</v>
      </c>
      <c r="I64" s="33">
        <v>0</v>
      </c>
      <c r="J64" s="33">
        <v>0</v>
      </c>
      <c r="K64" s="33">
        <v>0</v>
      </c>
      <c r="L64" s="33">
        <v>0</v>
      </c>
      <c r="M64" s="33">
        <v>0</v>
      </c>
      <c r="N64" s="33">
        <v>0</v>
      </c>
      <c r="O64" s="33">
        <v>1852</v>
      </c>
      <c r="P64" s="33">
        <v>0</v>
      </c>
      <c r="Q64" s="33">
        <v>1202</v>
      </c>
      <c r="R64" s="33">
        <v>0</v>
      </c>
      <c r="S64" s="33">
        <v>0</v>
      </c>
      <c r="T64" s="33">
        <v>0</v>
      </c>
      <c r="U64" s="33">
        <v>0</v>
      </c>
      <c r="V64" s="33">
        <v>0</v>
      </c>
      <c r="W64" s="33">
        <v>0</v>
      </c>
      <c r="X64" s="13">
        <f t="shared" si="0"/>
        <v>7651</v>
      </c>
      <c r="Y64" s="13">
        <f t="shared" si="1"/>
        <v>0</v>
      </c>
      <c r="Z64" s="13">
        <f t="shared" si="2"/>
        <v>0</v>
      </c>
      <c r="AA64" s="13">
        <f t="shared" si="6"/>
        <v>78237</v>
      </c>
      <c r="AB64" s="13">
        <f t="shared" si="7"/>
        <v>4616</v>
      </c>
      <c r="AC64" s="13">
        <f t="shared" si="8"/>
        <v>0</v>
      </c>
    </row>
    <row r="65" spans="1:29" x14ac:dyDescent="0.25">
      <c r="A65" s="32" t="s">
        <v>179</v>
      </c>
      <c r="B65" s="30">
        <v>11</v>
      </c>
      <c r="C65" s="30" t="s">
        <v>190</v>
      </c>
      <c r="D65" s="33">
        <v>0</v>
      </c>
      <c r="E65" s="33">
        <v>0</v>
      </c>
      <c r="F65" s="33">
        <v>6349</v>
      </c>
      <c r="G65" s="33">
        <v>36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1500</v>
      </c>
      <c r="P65" s="33">
        <v>0</v>
      </c>
      <c r="Q65" s="33">
        <v>813</v>
      </c>
      <c r="R65" s="33">
        <v>0</v>
      </c>
      <c r="S65" s="33">
        <v>0</v>
      </c>
      <c r="T65" s="33">
        <v>0</v>
      </c>
      <c r="U65" s="33">
        <v>0</v>
      </c>
      <c r="V65" s="33">
        <v>0</v>
      </c>
      <c r="W65" s="33">
        <v>0</v>
      </c>
      <c r="X65" s="13">
        <f t="shared" si="0"/>
        <v>8698</v>
      </c>
      <c r="Y65" s="13">
        <f t="shared" si="1"/>
        <v>0</v>
      </c>
      <c r="Z65" s="13">
        <f t="shared" si="2"/>
        <v>0</v>
      </c>
      <c r="AA65" s="13">
        <f t="shared" si="6"/>
        <v>86935</v>
      </c>
      <c r="AB65" s="13">
        <f t="shared" si="7"/>
        <v>4616</v>
      </c>
      <c r="AC65" s="13">
        <f t="shared" si="8"/>
        <v>0</v>
      </c>
    </row>
    <row r="66" spans="1:29" x14ac:dyDescent="0.25">
      <c r="A66" s="32" t="s">
        <v>179</v>
      </c>
      <c r="B66" s="30">
        <v>12</v>
      </c>
      <c r="C66" s="30" t="s">
        <v>191</v>
      </c>
      <c r="D66" s="33">
        <v>0</v>
      </c>
      <c r="E66" s="33">
        <v>0</v>
      </c>
      <c r="F66" s="33">
        <v>4415</v>
      </c>
      <c r="G66" s="33">
        <v>0</v>
      </c>
      <c r="H66" s="33">
        <v>0</v>
      </c>
      <c r="I66" s="33">
        <v>0</v>
      </c>
      <c r="J66" s="33">
        <v>0</v>
      </c>
      <c r="K66" s="33">
        <v>0</v>
      </c>
      <c r="L66" s="33">
        <v>0</v>
      </c>
      <c r="M66" s="33">
        <v>0</v>
      </c>
      <c r="N66" s="33">
        <v>0</v>
      </c>
      <c r="O66" s="33">
        <v>1681</v>
      </c>
      <c r="P66" s="33">
        <v>0</v>
      </c>
      <c r="Q66" s="33">
        <v>1806</v>
      </c>
      <c r="R66" s="33">
        <v>0</v>
      </c>
      <c r="S66" s="33">
        <v>0</v>
      </c>
      <c r="T66" s="33">
        <v>0</v>
      </c>
      <c r="U66" s="33">
        <v>0</v>
      </c>
      <c r="V66" s="33">
        <v>0</v>
      </c>
      <c r="W66" s="33">
        <v>0</v>
      </c>
      <c r="X66" s="13">
        <f t="shared" ref="X66:X129" si="9">F66+G66+O66+Q66+R66</f>
        <v>7902</v>
      </c>
      <c r="Y66" s="13">
        <f t="shared" ref="Y66:Y129" si="10">W66</f>
        <v>0</v>
      </c>
      <c r="Z66" s="13">
        <f t="shared" ref="Z66:Z129" si="11">SUM(D66:W66)-X66-Y66</f>
        <v>0</v>
      </c>
      <c r="AA66" s="13">
        <f t="shared" si="6"/>
        <v>94837</v>
      </c>
      <c r="AB66" s="13">
        <f t="shared" si="7"/>
        <v>4616</v>
      </c>
      <c r="AC66" s="13">
        <f t="shared" si="8"/>
        <v>0</v>
      </c>
    </row>
    <row r="67" spans="1:29" x14ac:dyDescent="0.25">
      <c r="A67" s="32" t="s">
        <v>179</v>
      </c>
      <c r="B67" s="30">
        <v>13</v>
      </c>
      <c r="C67" s="30" t="s">
        <v>192</v>
      </c>
      <c r="D67" s="33">
        <v>0</v>
      </c>
      <c r="E67" s="33">
        <v>0</v>
      </c>
      <c r="F67" s="33">
        <v>6849</v>
      </c>
      <c r="G67" s="33">
        <v>476</v>
      </c>
      <c r="H67" s="33">
        <v>0</v>
      </c>
      <c r="I67" s="33">
        <v>0</v>
      </c>
      <c r="J67" s="33">
        <v>0</v>
      </c>
      <c r="K67" s="33">
        <v>0</v>
      </c>
      <c r="L67" s="33">
        <v>0</v>
      </c>
      <c r="M67" s="33">
        <v>0</v>
      </c>
      <c r="N67" s="33">
        <v>0</v>
      </c>
      <c r="O67" s="33">
        <v>1436</v>
      </c>
      <c r="P67" s="33">
        <v>0</v>
      </c>
      <c r="Q67" s="33">
        <v>1666</v>
      </c>
      <c r="R67" s="33">
        <v>0</v>
      </c>
      <c r="S67" s="33">
        <v>0</v>
      </c>
      <c r="T67" s="33">
        <v>0</v>
      </c>
      <c r="U67" s="33">
        <v>0</v>
      </c>
      <c r="V67" s="33">
        <v>0</v>
      </c>
      <c r="W67" s="33">
        <v>0</v>
      </c>
      <c r="X67" s="13">
        <f t="shared" si="9"/>
        <v>10427</v>
      </c>
      <c r="Y67" s="13">
        <f t="shared" si="10"/>
        <v>0</v>
      </c>
      <c r="Z67" s="13">
        <f t="shared" si="11"/>
        <v>0</v>
      </c>
      <c r="AA67" s="13">
        <f t="shared" si="6"/>
        <v>105264</v>
      </c>
      <c r="AB67" s="13">
        <f t="shared" si="7"/>
        <v>4616</v>
      </c>
      <c r="AC67" s="13">
        <f t="shared" si="8"/>
        <v>0</v>
      </c>
    </row>
    <row r="68" spans="1:29" x14ac:dyDescent="0.25">
      <c r="A68" s="32" t="s">
        <v>179</v>
      </c>
      <c r="B68" s="30">
        <v>14</v>
      </c>
      <c r="C68" s="30" t="s">
        <v>193</v>
      </c>
      <c r="D68" s="33">
        <v>0</v>
      </c>
      <c r="E68" s="33">
        <v>0</v>
      </c>
      <c r="F68" s="33">
        <v>4680</v>
      </c>
      <c r="G68" s="33">
        <v>341</v>
      </c>
      <c r="H68" s="33">
        <v>0</v>
      </c>
      <c r="I68" s="33">
        <v>0</v>
      </c>
      <c r="J68" s="33">
        <v>0</v>
      </c>
      <c r="K68" s="33">
        <v>0</v>
      </c>
      <c r="L68" s="33">
        <v>0</v>
      </c>
      <c r="M68" s="33">
        <v>0</v>
      </c>
      <c r="N68" s="33">
        <v>0</v>
      </c>
      <c r="O68" s="33">
        <v>1255</v>
      </c>
      <c r="P68" s="33">
        <v>0</v>
      </c>
      <c r="Q68" s="33">
        <v>1250</v>
      </c>
      <c r="R68" s="33">
        <v>0</v>
      </c>
      <c r="S68" s="33">
        <v>0</v>
      </c>
      <c r="T68" s="33">
        <v>0</v>
      </c>
      <c r="U68" s="33">
        <v>0</v>
      </c>
      <c r="V68" s="33">
        <v>0</v>
      </c>
      <c r="W68" s="33">
        <v>0</v>
      </c>
      <c r="X68" s="13">
        <f t="shared" si="9"/>
        <v>7526</v>
      </c>
      <c r="Y68" s="13">
        <f t="shared" si="10"/>
        <v>0</v>
      </c>
      <c r="Z68" s="13">
        <f t="shared" si="11"/>
        <v>0</v>
      </c>
      <c r="AA68" s="13">
        <f t="shared" si="6"/>
        <v>112790</v>
      </c>
      <c r="AB68" s="13">
        <f t="shared" si="7"/>
        <v>4616</v>
      </c>
      <c r="AC68" s="13">
        <f t="shared" si="8"/>
        <v>0</v>
      </c>
    </row>
    <row r="69" spans="1:29" x14ac:dyDescent="0.25">
      <c r="A69" s="32" t="s">
        <v>179</v>
      </c>
      <c r="B69" s="30">
        <v>15</v>
      </c>
      <c r="C69" s="30" t="s">
        <v>194</v>
      </c>
      <c r="D69" s="33">
        <v>0</v>
      </c>
      <c r="E69" s="33">
        <v>0</v>
      </c>
      <c r="F69" s="33">
        <v>4326</v>
      </c>
      <c r="G69" s="33">
        <v>608</v>
      </c>
      <c r="H69" s="33">
        <v>0</v>
      </c>
      <c r="I69" s="33">
        <v>0</v>
      </c>
      <c r="J69" s="33">
        <v>0</v>
      </c>
      <c r="K69" s="33">
        <v>0</v>
      </c>
      <c r="L69" s="33">
        <v>39447</v>
      </c>
      <c r="M69" s="33">
        <v>0</v>
      </c>
      <c r="N69" s="33">
        <v>0</v>
      </c>
      <c r="O69" s="33">
        <v>1348</v>
      </c>
      <c r="P69" s="33">
        <v>0</v>
      </c>
      <c r="Q69" s="33">
        <v>945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13">
        <f t="shared" si="9"/>
        <v>7227</v>
      </c>
      <c r="Y69" s="13">
        <f t="shared" si="10"/>
        <v>0</v>
      </c>
      <c r="Z69" s="13">
        <f t="shared" si="11"/>
        <v>39447</v>
      </c>
      <c r="AA69" s="13">
        <f t="shared" si="6"/>
        <v>120017</v>
      </c>
      <c r="AB69" s="13">
        <f t="shared" si="7"/>
        <v>4616</v>
      </c>
      <c r="AC69" s="13">
        <f t="shared" si="8"/>
        <v>39447</v>
      </c>
    </row>
    <row r="70" spans="1:29" x14ac:dyDescent="0.25">
      <c r="A70" s="32" t="s">
        <v>179</v>
      </c>
      <c r="B70" s="30">
        <v>16</v>
      </c>
      <c r="C70" s="30" t="s">
        <v>195</v>
      </c>
      <c r="D70" s="33">
        <v>0</v>
      </c>
      <c r="E70" s="33">
        <v>0</v>
      </c>
      <c r="F70" s="33">
        <v>6716</v>
      </c>
      <c r="G70" s="33">
        <v>0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3">
        <v>0</v>
      </c>
      <c r="O70" s="33">
        <v>1317</v>
      </c>
      <c r="P70" s="33">
        <v>0</v>
      </c>
      <c r="Q70" s="33">
        <v>622</v>
      </c>
      <c r="R70" s="33">
        <v>0</v>
      </c>
      <c r="S70" s="33">
        <v>0</v>
      </c>
      <c r="T70" s="33">
        <v>0</v>
      </c>
      <c r="U70" s="33">
        <v>0</v>
      </c>
      <c r="V70" s="33">
        <v>0</v>
      </c>
      <c r="W70" s="33">
        <v>0</v>
      </c>
      <c r="X70" s="13">
        <f t="shared" si="9"/>
        <v>8655</v>
      </c>
      <c r="Y70" s="13">
        <f t="shared" si="10"/>
        <v>0</v>
      </c>
      <c r="Z70" s="13">
        <f t="shared" si="11"/>
        <v>0</v>
      </c>
      <c r="AA70" s="13">
        <f t="shared" si="6"/>
        <v>128672</v>
      </c>
      <c r="AB70" s="13">
        <f t="shared" si="7"/>
        <v>4616</v>
      </c>
      <c r="AC70" s="13">
        <f t="shared" si="8"/>
        <v>39447</v>
      </c>
    </row>
    <row r="71" spans="1:29" x14ac:dyDescent="0.25">
      <c r="A71" s="32" t="s">
        <v>179</v>
      </c>
      <c r="B71" s="30">
        <v>17</v>
      </c>
      <c r="C71" s="30" t="s">
        <v>196</v>
      </c>
      <c r="D71" s="33">
        <v>0</v>
      </c>
      <c r="E71" s="33">
        <v>0</v>
      </c>
      <c r="F71" s="33">
        <v>5382</v>
      </c>
      <c r="G71" s="33">
        <v>505</v>
      </c>
      <c r="H71" s="33">
        <v>0</v>
      </c>
      <c r="I71" s="33">
        <v>0</v>
      </c>
      <c r="J71" s="33">
        <v>0</v>
      </c>
      <c r="K71" s="33">
        <v>0</v>
      </c>
      <c r="L71" s="33">
        <v>0</v>
      </c>
      <c r="M71" s="33">
        <v>0</v>
      </c>
      <c r="N71" s="33">
        <v>0</v>
      </c>
      <c r="O71" s="33">
        <v>4050</v>
      </c>
      <c r="P71" s="33">
        <v>0</v>
      </c>
      <c r="Q71" s="33">
        <v>677</v>
      </c>
      <c r="R71" s="33">
        <v>0</v>
      </c>
      <c r="S71" s="33">
        <v>0</v>
      </c>
      <c r="T71" s="33">
        <v>0</v>
      </c>
      <c r="U71" s="33">
        <v>0</v>
      </c>
      <c r="V71" s="33">
        <v>0</v>
      </c>
      <c r="W71" s="33">
        <v>0</v>
      </c>
      <c r="X71" s="13">
        <f t="shared" si="9"/>
        <v>10614</v>
      </c>
      <c r="Y71" s="13">
        <f t="shared" si="10"/>
        <v>0</v>
      </c>
      <c r="Z71" s="13">
        <f t="shared" si="11"/>
        <v>0</v>
      </c>
      <c r="AA71" s="13">
        <f t="shared" si="6"/>
        <v>139286</v>
      </c>
      <c r="AB71" s="13">
        <f t="shared" si="7"/>
        <v>4616</v>
      </c>
      <c r="AC71" s="13">
        <f t="shared" si="8"/>
        <v>39447</v>
      </c>
    </row>
    <row r="72" spans="1:29" x14ac:dyDescent="0.25">
      <c r="A72" s="32" t="s">
        <v>179</v>
      </c>
      <c r="B72" s="30">
        <v>18</v>
      </c>
      <c r="C72" s="30" t="s">
        <v>197</v>
      </c>
      <c r="D72" s="33">
        <v>0</v>
      </c>
      <c r="E72" s="33">
        <v>0</v>
      </c>
      <c r="F72" s="33">
        <v>5619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33">
        <v>0</v>
      </c>
      <c r="O72" s="33">
        <v>1393</v>
      </c>
      <c r="P72" s="33">
        <v>0</v>
      </c>
      <c r="Q72" s="33">
        <v>2012</v>
      </c>
      <c r="R72" s="33">
        <v>0</v>
      </c>
      <c r="S72" s="33">
        <v>0</v>
      </c>
      <c r="T72" s="33">
        <v>0</v>
      </c>
      <c r="U72" s="33">
        <v>0</v>
      </c>
      <c r="V72" s="33">
        <v>0</v>
      </c>
      <c r="W72" s="33">
        <v>0</v>
      </c>
      <c r="X72" s="13">
        <f t="shared" si="9"/>
        <v>9024</v>
      </c>
      <c r="Y72" s="13">
        <f t="shared" si="10"/>
        <v>0</v>
      </c>
      <c r="Z72" s="13">
        <f t="shared" si="11"/>
        <v>0</v>
      </c>
      <c r="AA72" s="13">
        <f t="shared" si="6"/>
        <v>148310</v>
      </c>
      <c r="AB72" s="13">
        <f t="shared" si="7"/>
        <v>4616</v>
      </c>
      <c r="AC72" s="13">
        <f t="shared" si="8"/>
        <v>39447</v>
      </c>
    </row>
    <row r="73" spans="1:29" x14ac:dyDescent="0.25">
      <c r="A73" s="32" t="s">
        <v>179</v>
      </c>
      <c r="B73" s="30">
        <v>19</v>
      </c>
      <c r="C73" s="30" t="s">
        <v>198</v>
      </c>
      <c r="D73" s="33">
        <v>0</v>
      </c>
      <c r="E73" s="33">
        <v>0</v>
      </c>
      <c r="F73" s="33">
        <v>5916</v>
      </c>
      <c r="G73" s="33">
        <v>0</v>
      </c>
      <c r="H73" s="33">
        <v>0</v>
      </c>
      <c r="I73" s="33">
        <v>0</v>
      </c>
      <c r="J73" s="33">
        <v>0</v>
      </c>
      <c r="K73" s="33">
        <v>0</v>
      </c>
      <c r="L73" s="33">
        <v>0</v>
      </c>
      <c r="M73" s="33">
        <v>0</v>
      </c>
      <c r="N73" s="33">
        <v>0</v>
      </c>
      <c r="O73" s="33">
        <v>2294</v>
      </c>
      <c r="P73" s="33">
        <v>0</v>
      </c>
      <c r="Q73" s="33">
        <v>1161</v>
      </c>
      <c r="R73" s="33">
        <v>0</v>
      </c>
      <c r="S73" s="33">
        <v>0</v>
      </c>
      <c r="T73" s="33">
        <v>0</v>
      </c>
      <c r="U73" s="33">
        <v>0</v>
      </c>
      <c r="V73" s="33">
        <v>0</v>
      </c>
      <c r="W73" s="33">
        <v>0</v>
      </c>
      <c r="X73" s="13">
        <f t="shared" si="9"/>
        <v>9371</v>
      </c>
      <c r="Y73" s="13">
        <f t="shared" si="10"/>
        <v>0</v>
      </c>
      <c r="Z73" s="13">
        <f t="shared" si="11"/>
        <v>0</v>
      </c>
      <c r="AA73" s="13">
        <f t="shared" si="6"/>
        <v>157681</v>
      </c>
      <c r="AB73" s="13">
        <f t="shared" si="7"/>
        <v>4616</v>
      </c>
      <c r="AC73" s="13">
        <f t="shared" si="8"/>
        <v>39447</v>
      </c>
    </row>
    <row r="74" spans="1:29" x14ac:dyDescent="0.25">
      <c r="A74" s="32" t="s">
        <v>179</v>
      </c>
      <c r="B74" s="30">
        <v>20</v>
      </c>
      <c r="C74" s="30" t="s">
        <v>199</v>
      </c>
      <c r="D74" s="33">
        <v>0</v>
      </c>
      <c r="E74" s="33">
        <v>102</v>
      </c>
      <c r="F74" s="33">
        <v>3876</v>
      </c>
      <c r="G74" s="33">
        <v>0</v>
      </c>
      <c r="H74" s="33">
        <v>0</v>
      </c>
      <c r="I74" s="33">
        <v>0</v>
      </c>
      <c r="J74" s="33">
        <v>0</v>
      </c>
      <c r="K74" s="33">
        <v>0</v>
      </c>
      <c r="L74" s="33">
        <v>0</v>
      </c>
      <c r="M74" s="33">
        <v>0</v>
      </c>
      <c r="N74" s="33">
        <v>0</v>
      </c>
      <c r="O74" s="33">
        <v>1338</v>
      </c>
      <c r="P74" s="33">
        <v>0</v>
      </c>
      <c r="Q74" s="33">
        <v>786</v>
      </c>
      <c r="R74" s="33">
        <v>0</v>
      </c>
      <c r="S74" s="33">
        <v>0</v>
      </c>
      <c r="T74" s="33">
        <v>0</v>
      </c>
      <c r="U74" s="33">
        <v>0</v>
      </c>
      <c r="V74" s="33">
        <v>0</v>
      </c>
      <c r="W74" s="33">
        <v>0</v>
      </c>
      <c r="X74" s="13">
        <f t="shared" si="9"/>
        <v>6000</v>
      </c>
      <c r="Y74" s="13">
        <f t="shared" si="10"/>
        <v>0</v>
      </c>
      <c r="Z74" s="13">
        <f t="shared" si="11"/>
        <v>102</v>
      </c>
      <c r="AA74" s="13">
        <f t="shared" si="6"/>
        <v>163681</v>
      </c>
      <c r="AB74" s="13">
        <f t="shared" si="7"/>
        <v>4616</v>
      </c>
      <c r="AC74" s="13">
        <f t="shared" si="8"/>
        <v>39549</v>
      </c>
    </row>
    <row r="75" spans="1:29" x14ac:dyDescent="0.25">
      <c r="A75" s="32" t="s">
        <v>179</v>
      </c>
      <c r="B75" s="30">
        <v>21</v>
      </c>
      <c r="C75" s="30" t="s">
        <v>200</v>
      </c>
      <c r="D75" s="33">
        <v>0</v>
      </c>
      <c r="E75" s="33">
        <v>34</v>
      </c>
      <c r="F75" s="33">
        <v>3926</v>
      </c>
      <c r="G75" s="33">
        <v>1169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3">
        <v>0</v>
      </c>
      <c r="O75" s="33">
        <v>3426</v>
      </c>
      <c r="P75" s="33">
        <v>0</v>
      </c>
      <c r="Q75" s="33">
        <v>833</v>
      </c>
      <c r="R75" s="33">
        <v>36</v>
      </c>
      <c r="S75" s="33">
        <v>0</v>
      </c>
      <c r="T75" s="33">
        <v>0</v>
      </c>
      <c r="U75" s="33">
        <v>0</v>
      </c>
      <c r="V75" s="33">
        <v>0</v>
      </c>
      <c r="W75" s="33">
        <v>0</v>
      </c>
      <c r="X75" s="13">
        <f t="shared" si="9"/>
        <v>9390</v>
      </c>
      <c r="Y75" s="13">
        <f t="shared" si="10"/>
        <v>0</v>
      </c>
      <c r="Z75" s="13">
        <f t="shared" si="11"/>
        <v>34</v>
      </c>
      <c r="AA75" s="13">
        <f t="shared" si="6"/>
        <v>173071</v>
      </c>
      <c r="AB75" s="13">
        <f t="shared" si="7"/>
        <v>4616</v>
      </c>
      <c r="AC75" s="13">
        <f t="shared" si="8"/>
        <v>39583</v>
      </c>
    </row>
    <row r="76" spans="1:29" x14ac:dyDescent="0.25">
      <c r="A76" s="32" t="s">
        <v>179</v>
      </c>
      <c r="B76" s="30">
        <v>22</v>
      </c>
      <c r="C76" s="30" t="s">
        <v>201</v>
      </c>
      <c r="D76" s="33">
        <v>0</v>
      </c>
      <c r="E76" s="33">
        <v>170</v>
      </c>
      <c r="F76" s="33">
        <v>981</v>
      </c>
      <c r="G76" s="33">
        <v>316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1676</v>
      </c>
      <c r="P76" s="33">
        <v>0</v>
      </c>
      <c r="Q76" s="33">
        <v>2184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X76" s="13">
        <f t="shared" si="9"/>
        <v>5157</v>
      </c>
      <c r="Y76" s="13">
        <f t="shared" si="10"/>
        <v>0</v>
      </c>
      <c r="Z76" s="13">
        <f t="shared" si="11"/>
        <v>170</v>
      </c>
      <c r="AA76" s="13">
        <f t="shared" si="6"/>
        <v>178228</v>
      </c>
      <c r="AB76" s="13">
        <f t="shared" si="7"/>
        <v>4616</v>
      </c>
      <c r="AC76" s="13">
        <f t="shared" si="8"/>
        <v>39753</v>
      </c>
    </row>
    <row r="77" spans="1:29" x14ac:dyDescent="0.25">
      <c r="A77" s="32" t="s">
        <v>179</v>
      </c>
      <c r="B77" s="30">
        <v>23</v>
      </c>
      <c r="C77" s="30" t="s">
        <v>202</v>
      </c>
      <c r="D77" s="33">
        <v>0</v>
      </c>
      <c r="E77" s="33">
        <v>204</v>
      </c>
      <c r="F77" s="33">
        <v>3594</v>
      </c>
      <c r="G77" s="33">
        <v>834</v>
      </c>
      <c r="H77" s="33">
        <v>0</v>
      </c>
      <c r="I77" s="33">
        <v>0</v>
      </c>
      <c r="J77" s="33">
        <v>0</v>
      </c>
      <c r="K77" s="33">
        <v>0</v>
      </c>
      <c r="L77" s="33">
        <v>0</v>
      </c>
      <c r="M77" s="33">
        <v>0</v>
      </c>
      <c r="N77" s="33">
        <v>0</v>
      </c>
      <c r="O77" s="33">
        <v>1340</v>
      </c>
      <c r="P77" s="33">
        <v>0</v>
      </c>
      <c r="Q77" s="33">
        <v>1678</v>
      </c>
      <c r="R77" s="33">
        <v>0</v>
      </c>
      <c r="S77" s="33">
        <v>0</v>
      </c>
      <c r="T77" s="33">
        <v>0</v>
      </c>
      <c r="U77" s="33">
        <v>0</v>
      </c>
      <c r="V77" s="33">
        <v>0</v>
      </c>
      <c r="W77" s="33">
        <v>0</v>
      </c>
      <c r="X77" s="13">
        <f t="shared" si="9"/>
        <v>7446</v>
      </c>
      <c r="Y77" s="13">
        <f t="shared" si="10"/>
        <v>0</v>
      </c>
      <c r="Z77" s="13">
        <f t="shared" si="11"/>
        <v>204</v>
      </c>
      <c r="AA77" s="13">
        <f t="shared" si="6"/>
        <v>185674</v>
      </c>
      <c r="AB77" s="13">
        <f t="shared" si="7"/>
        <v>4616</v>
      </c>
      <c r="AC77" s="13">
        <f t="shared" si="8"/>
        <v>39957</v>
      </c>
    </row>
    <row r="78" spans="1:29" x14ac:dyDescent="0.25">
      <c r="A78" s="32" t="s">
        <v>179</v>
      </c>
      <c r="B78" s="30">
        <v>24</v>
      </c>
      <c r="C78" s="30" t="s">
        <v>203</v>
      </c>
      <c r="D78" s="33">
        <v>0</v>
      </c>
      <c r="E78" s="33">
        <v>272</v>
      </c>
      <c r="F78" s="33">
        <v>5297</v>
      </c>
      <c r="G78" s="33">
        <v>544</v>
      </c>
      <c r="H78" s="33">
        <v>0</v>
      </c>
      <c r="I78" s="33">
        <v>0</v>
      </c>
      <c r="J78" s="33">
        <v>0</v>
      </c>
      <c r="K78" s="33">
        <v>0</v>
      </c>
      <c r="L78" s="33">
        <v>0</v>
      </c>
      <c r="M78" s="33">
        <v>0</v>
      </c>
      <c r="N78" s="33">
        <v>0</v>
      </c>
      <c r="O78" s="33">
        <v>242</v>
      </c>
      <c r="P78" s="33">
        <v>0</v>
      </c>
      <c r="Q78" s="33">
        <v>1859</v>
      </c>
      <c r="R78" s="33">
        <v>0</v>
      </c>
      <c r="S78" s="33">
        <v>0</v>
      </c>
      <c r="T78" s="33">
        <v>0</v>
      </c>
      <c r="U78" s="33">
        <v>0</v>
      </c>
      <c r="V78" s="33">
        <v>0</v>
      </c>
      <c r="W78" s="33">
        <v>0</v>
      </c>
      <c r="X78" s="13">
        <f t="shared" si="9"/>
        <v>7942</v>
      </c>
      <c r="Y78" s="13">
        <f t="shared" si="10"/>
        <v>0</v>
      </c>
      <c r="Z78" s="13">
        <f t="shared" si="11"/>
        <v>272</v>
      </c>
      <c r="AA78" s="13">
        <f t="shared" si="6"/>
        <v>193616</v>
      </c>
      <c r="AB78" s="13">
        <f t="shared" si="7"/>
        <v>4616</v>
      </c>
      <c r="AC78" s="13">
        <f t="shared" si="8"/>
        <v>40229</v>
      </c>
    </row>
    <row r="79" spans="1:29" x14ac:dyDescent="0.25">
      <c r="A79" s="32" t="s">
        <v>179</v>
      </c>
      <c r="B79" s="30">
        <v>25</v>
      </c>
      <c r="C79" s="30" t="s">
        <v>204</v>
      </c>
      <c r="D79" s="33">
        <v>0</v>
      </c>
      <c r="E79" s="33">
        <v>102</v>
      </c>
      <c r="F79" s="33">
        <v>6237</v>
      </c>
      <c r="G79" s="33">
        <v>650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508</v>
      </c>
      <c r="P79" s="33">
        <v>0</v>
      </c>
      <c r="Q79" s="33">
        <v>2339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X79" s="13">
        <f t="shared" si="9"/>
        <v>9734</v>
      </c>
      <c r="Y79" s="13">
        <f t="shared" si="10"/>
        <v>0</v>
      </c>
      <c r="Z79" s="13">
        <f t="shared" si="11"/>
        <v>102</v>
      </c>
      <c r="AA79" s="13">
        <f t="shared" si="6"/>
        <v>203350</v>
      </c>
      <c r="AB79" s="13">
        <f t="shared" si="7"/>
        <v>4616</v>
      </c>
      <c r="AC79" s="13">
        <f t="shared" si="8"/>
        <v>40331</v>
      </c>
    </row>
    <row r="80" spans="1:29" x14ac:dyDescent="0.25">
      <c r="A80" s="32" t="s">
        <v>179</v>
      </c>
      <c r="B80" s="30">
        <v>26</v>
      </c>
      <c r="C80" s="30" t="s">
        <v>205</v>
      </c>
      <c r="D80" s="33">
        <v>0</v>
      </c>
      <c r="E80" s="33">
        <v>272</v>
      </c>
      <c r="F80" s="33">
        <v>5390</v>
      </c>
      <c r="G80" s="33">
        <v>773</v>
      </c>
      <c r="H80" s="33">
        <v>0</v>
      </c>
      <c r="I80" s="33">
        <v>0</v>
      </c>
      <c r="J80" s="33">
        <v>0</v>
      </c>
      <c r="K80" s="33">
        <v>0</v>
      </c>
      <c r="L80" s="33">
        <v>0</v>
      </c>
      <c r="M80" s="33">
        <v>0</v>
      </c>
      <c r="N80" s="33">
        <v>0</v>
      </c>
      <c r="O80" s="33">
        <v>536</v>
      </c>
      <c r="P80" s="33">
        <v>0</v>
      </c>
      <c r="Q80" s="33">
        <v>1362</v>
      </c>
      <c r="R80" s="33">
        <v>0</v>
      </c>
      <c r="S80" s="33">
        <v>0</v>
      </c>
      <c r="T80" s="33">
        <v>0</v>
      </c>
      <c r="U80" s="33">
        <v>0</v>
      </c>
      <c r="V80" s="33">
        <v>0</v>
      </c>
      <c r="W80" s="33">
        <v>0</v>
      </c>
      <c r="X80" s="13">
        <f t="shared" si="9"/>
        <v>8061</v>
      </c>
      <c r="Y80" s="13">
        <f t="shared" si="10"/>
        <v>0</v>
      </c>
      <c r="Z80" s="13">
        <f t="shared" si="11"/>
        <v>272</v>
      </c>
      <c r="AA80" s="13">
        <f t="shared" si="6"/>
        <v>211411</v>
      </c>
      <c r="AB80" s="13">
        <f t="shared" si="7"/>
        <v>4616</v>
      </c>
      <c r="AC80" s="13">
        <f t="shared" si="8"/>
        <v>40603</v>
      </c>
    </row>
    <row r="81" spans="1:29" x14ac:dyDescent="0.25">
      <c r="A81" s="32" t="s">
        <v>179</v>
      </c>
      <c r="B81" s="30">
        <v>27</v>
      </c>
      <c r="C81" s="30" t="s">
        <v>206</v>
      </c>
      <c r="D81" s="33">
        <v>0</v>
      </c>
      <c r="E81" s="33">
        <v>136</v>
      </c>
      <c r="F81" s="33">
        <v>4905</v>
      </c>
      <c r="G81" s="33">
        <v>1062</v>
      </c>
      <c r="H81" s="33">
        <v>0</v>
      </c>
      <c r="I81" s="33">
        <v>0</v>
      </c>
      <c r="J81" s="33">
        <v>0</v>
      </c>
      <c r="K81" s="33">
        <v>0</v>
      </c>
      <c r="L81" s="33">
        <v>0</v>
      </c>
      <c r="M81" s="33">
        <v>0</v>
      </c>
      <c r="N81" s="33">
        <v>0</v>
      </c>
      <c r="O81" s="33">
        <v>877</v>
      </c>
      <c r="P81" s="33">
        <v>0</v>
      </c>
      <c r="Q81" s="33">
        <v>1578</v>
      </c>
      <c r="R81" s="33">
        <v>1663</v>
      </c>
      <c r="S81" s="33">
        <v>0</v>
      </c>
      <c r="T81" s="33">
        <v>0</v>
      </c>
      <c r="U81" s="33">
        <v>0</v>
      </c>
      <c r="V81" s="33">
        <v>0</v>
      </c>
      <c r="W81" s="33">
        <v>0</v>
      </c>
      <c r="X81" s="13">
        <f t="shared" si="9"/>
        <v>10085</v>
      </c>
      <c r="Y81" s="13">
        <f t="shared" si="10"/>
        <v>0</v>
      </c>
      <c r="Z81" s="13">
        <f t="shared" si="11"/>
        <v>136</v>
      </c>
      <c r="AA81" s="13">
        <f t="shared" si="6"/>
        <v>221496</v>
      </c>
      <c r="AB81" s="13">
        <f t="shared" si="7"/>
        <v>4616</v>
      </c>
      <c r="AC81" s="13">
        <f t="shared" si="8"/>
        <v>40739</v>
      </c>
    </row>
    <row r="82" spans="1:29" x14ac:dyDescent="0.25">
      <c r="A82" s="32" t="s">
        <v>179</v>
      </c>
      <c r="B82" s="30">
        <v>28</v>
      </c>
      <c r="C82" s="30" t="s">
        <v>207</v>
      </c>
      <c r="D82" s="33">
        <v>0</v>
      </c>
      <c r="E82" s="33">
        <v>479</v>
      </c>
      <c r="F82" s="33">
        <v>5438</v>
      </c>
      <c r="G82" s="33">
        <v>1294</v>
      </c>
      <c r="H82" s="33">
        <v>0</v>
      </c>
      <c r="I82" s="33">
        <v>0</v>
      </c>
      <c r="J82" s="33">
        <v>0</v>
      </c>
      <c r="K82" s="33">
        <v>0</v>
      </c>
      <c r="L82" s="33">
        <v>0</v>
      </c>
      <c r="M82" s="33">
        <v>0</v>
      </c>
      <c r="N82" s="33">
        <v>0</v>
      </c>
      <c r="O82" s="33">
        <v>1234</v>
      </c>
      <c r="P82" s="33">
        <v>0</v>
      </c>
      <c r="Q82" s="33">
        <v>1731</v>
      </c>
      <c r="R82" s="33">
        <v>2470</v>
      </c>
      <c r="S82" s="33">
        <v>0</v>
      </c>
      <c r="T82" s="33">
        <v>0</v>
      </c>
      <c r="U82" s="33">
        <v>0</v>
      </c>
      <c r="V82" s="33">
        <v>0</v>
      </c>
      <c r="W82" s="33">
        <v>0</v>
      </c>
      <c r="X82" s="13">
        <f t="shared" si="9"/>
        <v>12167</v>
      </c>
      <c r="Y82" s="13">
        <f t="shared" si="10"/>
        <v>0</v>
      </c>
      <c r="Z82" s="13">
        <f t="shared" si="11"/>
        <v>479</v>
      </c>
      <c r="AA82" s="13">
        <f t="shared" si="6"/>
        <v>233663</v>
      </c>
      <c r="AB82" s="13">
        <f t="shared" si="7"/>
        <v>4616</v>
      </c>
      <c r="AC82" s="13">
        <f t="shared" si="8"/>
        <v>41218</v>
      </c>
    </row>
    <row r="83" spans="1:29" x14ac:dyDescent="0.25">
      <c r="A83" s="32" t="s">
        <v>179</v>
      </c>
      <c r="B83" s="30">
        <v>29</v>
      </c>
      <c r="C83" s="30" t="s">
        <v>208</v>
      </c>
      <c r="D83" s="33">
        <v>0</v>
      </c>
      <c r="E83" s="33">
        <v>410</v>
      </c>
      <c r="F83" s="33">
        <v>6235</v>
      </c>
      <c r="G83" s="33">
        <v>1647</v>
      </c>
      <c r="H83" s="33">
        <v>0</v>
      </c>
      <c r="I83" s="33">
        <v>0</v>
      </c>
      <c r="J83" s="33">
        <v>0</v>
      </c>
      <c r="K83" s="33">
        <v>0</v>
      </c>
      <c r="L83" s="33">
        <v>0</v>
      </c>
      <c r="M83" s="33">
        <v>0</v>
      </c>
      <c r="N83" s="33">
        <v>0</v>
      </c>
      <c r="O83" s="33">
        <v>567</v>
      </c>
      <c r="P83" s="33">
        <v>0</v>
      </c>
      <c r="Q83" s="33">
        <v>1801</v>
      </c>
      <c r="R83" s="33">
        <v>3166</v>
      </c>
      <c r="S83" s="33">
        <v>0</v>
      </c>
      <c r="T83" s="33">
        <v>0</v>
      </c>
      <c r="U83" s="33">
        <v>0</v>
      </c>
      <c r="V83" s="33">
        <v>0</v>
      </c>
      <c r="W83" s="33">
        <v>0</v>
      </c>
      <c r="X83" s="13">
        <f t="shared" si="9"/>
        <v>13416</v>
      </c>
      <c r="Y83" s="13">
        <f t="shared" si="10"/>
        <v>0</v>
      </c>
      <c r="Z83" s="13">
        <f t="shared" si="11"/>
        <v>410</v>
      </c>
      <c r="AA83" s="13">
        <f t="shared" si="6"/>
        <v>247079</v>
      </c>
      <c r="AB83" s="13">
        <f t="shared" si="7"/>
        <v>4616</v>
      </c>
      <c r="AC83" s="13">
        <f t="shared" si="8"/>
        <v>41628</v>
      </c>
    </row>
    <row r="84" spans="1:29" x14ac:dyDescent="0.25">
      <c r="A84" s="32" t="s">
        <v>179</v>
      </c>
      <c r="B84" s="30">
        <v>30</v>
      </c>
      <c r="C84" s="30" t="s">
        <v>209</v>
      </c>
      <c r="D84" s="33">
        <v>0</v>
      </c>
      <c r="E84" s="33">
        <v>307</v>
      </c>
      <c r="F84" s="33">
        <v>6125</v>
      </c>
      <c r="G84" s="33">
        <v>1958</v>
      </c>
      <c r="H84" s="33">
        <v>0</v>
      </c>
      <c r="I84" s="33">
        <v>0</v>
      </c>
      <c r="J84" s="33">
        <v>0</v>
      </c>
      <c r="K84" s="33">
        <v>0</v>
      </c>
      <c r="L84" s="33">
        <v>0</v>
      </c>
      <c r="M84" s="33">
        <v>0</v>
      </c>
      <c r="N84" s="33">
        <v>0</v>
      </c>
      <c r="O84" s="33">
        <v>1848</v>
      </c>
      <c r="P84" s="33">
        <v>0</v>
      </c>
      <c r="Q84" s="33">
        <v>1322</v>
      </c>
      <c r="R84" s="33">
        <v>4718</v>
      </c>
      <c r="S84" s="33">
        <v>0</v>
      </c>
      <c r="T84" s="33">
        <v>0</v>
      </c>
      <c r="U84" s="33">
        <v>0</v>
      </c>
      <c r="V84" s="33">
        <v>0</v>
      </c>
      <c r="W84" s="33">
        <v>0</v>
      </c>
      <c r="X84" s="13">
        <f t="shared" si="9"/>
        <v>15971</v>
      </c>
      <c r="Y84" s="13">
        <f t="shared" si="10"/>
        <v>0</v>
      </c>
      <c r="Z84" s="13">
        <f t="shared" si="11"/>
        <v>307</v>
      </c>
      <c r="AA84" s="13">
        <f t="shared" si="6"/>
        <v>263050</v>
      </c>
      <c r="AB84" s="13">
        <f t="shared" si="7"/>
        <v>4616</v>
      </c>
      <c r="AC84" s="13">
        <f t="shared" si="8"/>
        <v>41935</v>
      </c>
    </row>
    <row r="85" spans="1:29" x14ac:dyDescent="0.25">
      <c r="A85" s="32" t="s">
        <v>179</v>
      </c>
      <c r="B85" s="30">
        <v>31</v>
      </c>
      <c r="C85" s="30" t="s">
        <v>210</v>
      </c>
      <c r="D85" s="33">
        <v>0</v>
      </c>
      <c r="E85" s="33">
        <v>549</v>
      </c>
      <c r="F85" s="33">
        <v>4824</v>
      </c>
      <c r="G85" s="33">
        <v>819</v>
      </c>
      <c r="H85" s="33">
        <v>0</v>
      </c>
      <c r="I85" s="33">
        <v>0</v>
      </c>
      <c r="J85" s="33">
        <v>0</v>
      </c>
      <c r="K85" s="33">
        <v>0</v>
      </c>
      <c r="L85" s="33">
        <v>31298</v>
      </c>
      <c r="M85" s="33">
        <v>0</v>
      </c>
      <c r="N85" s="33">
        <v>0</v>
      </c>
      <c r="O85" s="33">
        <v>0</v>
      </c>
      <c r="P85" s="33">
        <v>0</v>
      </c>
      <c r="Q85" s="33">
        <v>1098</v>
      </c>
      <c r="R85" s="33">
        <v>4447</v>
      </c>
      <c r="S85" s="33">
        <v>0</v>
      </c>
      <c r="T85" s="33">
        <v>0</v>
      </c>
      <c r="U85" s="33">
        <v>0</v>
      </c>
      <c r="V85" s="33">
        <v>0</v>
      </c>
      <c r="W85" s="33">
        <v>0</v>
      </c>
      <c r="X85" s="13">
        <f t="shared" si="9"/>
        <v>11188</v>
      </c>
      <c r="Y85" s="13">
        <f t="shared" si="10"/>
        <v>0</v>
      </c>
      <c r="Z85" s="13">
        <f t="shared" si="11"/>
        <v>31847</v>
      </c>
      <c r="AA85" s="13">
        <f t="shared" si="6"/>
        <v>274238</v>
      </c>
      <c r="AB85" s="13">
        <f t="shared" si="7"/>
        <v>4616</v>
      </c>
      <c r="AC85" s="13">
        <f t="shared" si="8"/>
        <v>73782</v>
      </c>
    </row>
    <row r="86" spans="1:29" x14ac:dyDescent="0.25">
      <c r="A86" s="32" t="s">
        <v>179</v>
      </c>
      <c r="B86" s="30">
        <v>32</v>
      </c>
      <c r="C86" s="30" t="s">
        <v>211</v>
      </c>
      <c r="D86" s="33">
        <v>0</v>
      </c>
      <c r="E86" s="33">
        <v>445</v>
      </c>
      <c r="F86" s="33">
        <v>3843</v>
      </c>
      <c r="G86" s="33">
        <v>950</v>
      </c>
      <c r="H86" s="33">
        <v>0</v>
      </c>
      <c r="I86" s="33">
        <v>0</v>
      </c>
      <c r="J86" s="33">
        <v>0</v>
      </c>
      <c r="K86" s="33">
        <v>0</v>
      </c>
      <c r="L86" s="33">
        <v>11250</v>
      </c>
      <c r="M86" s="33">
        <v>0</v>
      </c>
      <c r="N86" s="33">
        <v>0</v>
      </c>
      <c r="O86" s="33">
        <v>0</v>
      </c>
      <c r="P86" s="33">
        <v>0</v>
      </c>
      <c r="Q86" s="33">
        <v>921</v>
      </c>
      <c r="R86" s="33">
        <v>4225</v>
      </c>
      <c r="S86" s="33">
        <v>0</v>
      </c>
      <c r="T86" s="33">
        <v>0</v>
      </c>
      <c r="U86" s="33">
        <v>0</v>
      </c>
      <c r="V86" s="33">
        <v>0</v>
      </c>
      <c r="W86" s="33">
        <v>0</v>
      </c>
      <c r="X86" s="13">
        <f t="shared" si="9"/>
        <v>9939</v>
      </c>
      <c r="Y86" s="13">
        <f t="shared" si="10"/>
        <v>0</v>
      </c>
      <c r="Z86" s="13">
        <f t="shared" si="11"/>
        <v>11695</v>
      </c>
      <c r="AA86" s="13">
        <f t="shared" si="6"/>
        <v>284177</v>
      </c>
      <c r="AB86" s="13">
        <f t="shared" si="7"/>
        <v>4616</v>
      </c>
      <c r="AC86" s="13">
        <f t="shared" si="8"/>
        <v>85477</v>
      </c>
    </row>
    <row r="87" spans="1:29" x14ac:dyDescent="0.25">
      <c r="A87" s="32" t="s">
        <v>179</v>
      </c>
      <c r="B87" s="30">
        <v>33</v>
      </c>
      <c r="C87" s="30" t="s">
        <v>212</v>
      </c>
      <c r="D87" s="33">
        <v>0</v>
      </c>
      <c r="E87" s="33">
        <v>205</v>
      </c>
      <c r="F87" s="33">
        <v>3092</v>
      </c>
      <c r="G87" s="33">
        <v>709</v>
      </c>
      <c r="H87" s="33">
        <v>0</v>
      </c>
      <c r="I87" s="33">
        <v>0</v>
      </c>
      <c r="J87" s="33">
        <v>0</v>
      </c>
      <c r="K87" s="33">
        <v>0</v>
      </c>
      <c r="L87" s="33">
        <v>0</v>
      </c>
      <c r="M87" s="33">
        <v>0</v>
      </c>
      <c r="N87" s="33">
        <v>0</v>
      </c>
      <c r="O87" s="33">
        <v>1320</v>
      </c>
      <c r="P87" s="33">
        <v>0</v>
      </c>
      <c r="Q87" s="33">
        <v>1251</v>
      </c>
      <c r="R87" s="33">
        <v>3756</v>
      </c>
      <c r="S87" s="33">
        <v>0</v>
      </c>
      <c r="T87" s="33">
        <v>0</v>
      </c>
      <c r="U87" s="33">
        <v>0</v>
      </c>
      <c r="V87" s="33">
        <v>0</v>
      </c>
      <c r="W87" s="33">
        <v>0</v>
      </c>
      <c r="X87" s="13">
        <f t="shared" si="9"/>
        <v>10128</v>
      </c>
      <c r="Y87" s="13">
        <f t="shared" si="10"/>
        <v>0</v>
      </c>
      <c r="Z87" s="13">
        <f t="shared" si="11"/>
        <v>205</v>
      </c>
      <c r="AA87" s="13">
        <f t="shared" si="6"/>
        <v>294305</v>
      </c>
      <c r="AB87" s="13">
        <f t="shared" si="7"/>
        <v>4616</v>
      </c>
      <c r="AC87" s="13">
        <f t="shared" si="8"/>
        <v>85682</v>
      </c>
    </row>
    <row r="88" spans="1:29" x14ac:dyDescent="0.25">
      <c r="A88" s="32" t="s">
        <v>179</v>
      </c>
      <c r="B88" s="30">
        <v>34</v>
      </c>
      <c r="C88" s="30" t="s">
        <v>213</v>
      </c>
      <c r="D88" s="33">
        <v>0</v>
      </c>
      <c r="E88" s="33">
        <v>0</v>
      </c>
      <c r="F88" s="33">
        <v>3131</v>
      </c>
      <c r="G88" s="33">
        <v>877</v>
      </c>
      <c r="H88" s="33">
        <v>0</v>
      </c>
      <c r="I88" s="33">
        <v>0</v>
      </c>
      <c r="J88" s="33">
        <v>0</v>
      </c>
      <c r="K88" s="33">
        <v>0</v>
      </c>
      <c r="L88" s="33">
        <v>0</v>
      </c>
      <c r="M88" s="33">
        <v>0</v>
      </c>
      <c r="N88" s="33">
        <v>0</v>
      </c>
      <c r="O88" s="33">
        <v>0</v>
      </c>
      <c r="P88" s="33">
        <v>0</v>
      </c>
      <c r="Q88" s="33">
        <v>962</v>
      </c>
      <c r="R88" s="33">
        <v>1754</v>
      </c>
      <c r="S88" s="33">
        <v>0</v>
      </c>
      <c r="T88" s="33">
        <v>0</v>
      </c>
      <c r="U88" s="33">
        <v>0</v>
      </c>
      <c r="V88" s="33">
        <v>0</v>
      </c>
      <c r="W88" s="33">
        <v>0</v>
      </c>
      <c r="X88" s="13">
        <f t="shared" si="9"/>
        <v>6724</v>
      </c>
      <c r="Y88" s="13">
        <f t="shared" si="10"/>
        <v>0</v>
      </c>
      <c r="Z88" s="13">
        <f t="shared" si="11"/>
        <v>0</v>
      </c>
      <c r="AA88" s="13">
        <f t="shared" si="6"/>
        <v>301029</v>
      </c>
      <c r="AB88" s="13">
        <f t="shared" si="7"/>
        <v>4616</v>
      </c>
      <c r="AC88" s="13">
        <f t="shared" si="8"/>
        <v>85682</v>
      </c>
    </row>
    <row r="89" spans="1:29" x14ac:dyDescent="0.25">
      <c r="A89" s="32" t="s">
        <v>179</v>
      </c>
      <c r="B89" s="30">
        <v>35</v>
      </c>
      <c r="C89" s="30" t="s">
        <v>214</v>
      </c>
      <c r="D89" s="33">
        <v>0</v>
      </c>
      <c r="E89" s="33">
        <v>1387</v>
      </c>
      <c r="F89" s="33">
        <v>1519</v>
      </c>
      <c r="G89" s="33">
        <v>1445</v>
      </c>
      <c r="H89" s="33">
        <v>0</v>
      </c>
      <c r="I89" s="33">
        <v>0</v>
      </c>
      <c r="J89" s="33">
        <v>0</v>
      </c>
      <c r="K89" s="33">
        <v>0</v>
      </c>
      <c r="L89" s="33">
        <v>0</v>
      </c>
      <c r="M89" s="33">
        <v>0</v>
      </c>
      <c r="N89" s="33">
        <v>0</v>
      </c>
      <c r="O89" s="33">
        <v>1832</v>
      </c>
      <c r="P89" s="33">
        <v>0</v>
      </c>
      <c r="Q89" s="33">
        <v>1229</v>
      </c>
      <c r="R89" s="33">
        <v>2584</v>
      </c>
      <c r="S89" s="33">
        <v>0</v>
      </c>
      <c r="T89" s="33">
        <v>0</v>
      </c>
      <c r="U89" s="33">
        <v>0</v>
      </c>
      <c r="V89" s="33">
        <v>0</v>
      </c>
      <c r="W89" s="33">
        <v>0</v>
      </c>
      <c r="X89" s="13">
        <f t="shared" si="9"/>
        <v>8609</v>
      </c>
      <c r="Y89" s="13">
        <f t="shared" si="10"/>
        <v>0</v>
      </c>
      <c r="Z89" s="13">
        <f t="shared" si="11"/>
        <v>1387</v>
      </c>
      <c r="AA89" s="13">
        <f t="shared" si="6"/>
        <v>309638</v>
      </c>
      <c r="AB89" s="13">
        <f t="shared" si="7"/>
        <v>4616</v>
      </c>
      <c r="AC89" s="13">
        <f t="shared" si="8"/>
        <v>87069</v>
      </c>
    </row>
    <row r="90" spans="1:29" x14ac:dyDescent="0.25">
      <c r="A90" s="32" t="s">
        <v>179</v>
      </c>
      <c r="B90" s="30">
        <v>36</v>
      </c>
      <c r="C90" s="30" t="s">
        <v>215</v>
      </c>
      <c r="D90" s="33">
        <v>0</v>
      </c>
      <c r="E90" s="33">
        <v>276</v>
      </c>
      <c r="F90" s="33">
        <v>4488</v>
      </c>
      <c r="G90" s="33">
        <v>871</v>
      </c>
      <c r="H90" s="33">
        <v>0</v>
      </c>
      <c r="I90" s="33">
        <v>0</v>
      </c>
      <c r="J90" s="33">
        <v>0</v>
      </c>
      <c r="K90" s="33">
        <v>0</v>
      </c>
      <c r="L90" s="33">
        <v>0</v>
      </c>
      <c r="M90" s="33">
        <v>0</v>
      </c>
      <c r="N90" s="33">
        <v>0</v>
      </c>
      <c r="O90" s="33">
        <v>299</v>
      </c>
      <c r="P90" s="33">
        <v>0</v>
      </c>
      <c r="Q90" s="33">
        <v>2139</v>
      </c>
      <c r="R90" s="33">
        <v>4019</v>
      </c>
      <c r="S90" s="33">
        <v>0</v>
      </c>
      <c r="T90" s="33">
        <v>0</v>
      </c>
      <c r="U90" s="33">
        <v>0</v>
      </c>
      <c r="V90" s="33">
        <v>0</v>
      </c>
      <c r="W90" s="33">
        <v>0</v>
      </c>
      <c r="X90" s="13">
        <f t="shared" si="9"/>
        <v>11816</v>
      </c>
      <c r="Y90" s="13">
        <f t="shared" si="10"/>
        <v>0</v>
      </c>
      <c r="Z90" s="13">
        <f t="shared" si="11"/>
        <v>276</v>
      </c>
      <c r="AA90" s="13">
        <f t="shared" si="6"/>
        <v>321454</v>
      </c>
      <c r="AB90" s="13">
        <f t="shared" si="7"/>
        <v>4616</v>
      </c>
      <c r="AC90" s="13">
        <f t="shared" si="8"/>
        <v>87345</v>
      </c>
    </row>
    <row r="91" spans="1:29" x14ac:dyDescent="0.25">
      <c r="A91" s="32" t="s">
        <v>179</v>
      </c>
      <c r="B91" s="30">
        <v>37</v>
      </c>
      <c r="C91" s="30" t="s">
        <v>216</v>
      </c>
      <c r="D91" s="33">
        <v>0</v>
      </c>
      <c r="E91" s="33">
        <v>342</v>
      </c>
      <c r="F91" s="33">
        <v>6038</v>
      </c>
      <c r="G91" s="33">
        <v>1915</v>
      </c>
      <c r="H91" s="33">
        <v>0</v>
      </c>
      <c r="I91" s="33">
        <v>0</v>
      </c>
      <c r="J91" s="33">
        <v>0</v>
      </c>
      <c r="K91" s="33">
        <v>0</v>
      </c>
      <c r="L91" s="33">
        <v>0</v>
      </c>
      <c r="M91" s="33">
        <v>0</v>
      </c>
      <c r="N91" s="33">
        <v>0</v>
      </c>
      <c r="O91" s="33">
        <v>1039</v>
      </c>
      <c r="P91" s="33">
        <v>0</v>
      </c>
      <c r="Q91" s="33">
        <v>1710</v>
      </c>
      <c r="R91" s="33">
        <v>5182</v>
      </c>
      <c r="S91" s="33">
        <v>0</v>
      </c>
      <c r="T91" s="33">
        <v>0</v>
      </c>
      <c r="U91" s="33">
        <v>0</v>
      </c>
      <c r="V91" s="33">
        <v>0</v>
      </c>
      <c r="W91" s="33">
        <v>0</v>
      </c>
      <c r="X91" s="13">
        <f t="shared" si="9"/>
        <v>15884</v>
      </c>
      <c r="Y91" s="13">
        <f t="shared" si="10"/>
        <v>0</v>
      </c>
      <c r="Z91" s="13">
        <f t="shared" si="11"/>
        <v>342</v>
      </c>
      <c r="AA91" s="13">
        <f t="shared" si="6"/>
        <v>337338</v>
      </c>
      <c r="AB91" s="13">
        <f t="shared" si="7"/>
        <v>4616</v>
      </c>
      <c r="AC91" s="13">
        <f t="shared" si="8"/>
        <v>87687</v>
      </c>
    </row>
    <row r="92" spans="1:29" x14ac:dyDescent="0.25">
      <c r="A92" s="32" t="s">
        <v>179</v>
      </c>
      <c r="B92" s="30">
        <v>38</v>
      </c>
      <c r="C92" s="30" t="s">
        <v>217</v>
      </c>
      <c r="D92" s="33">
        <v>0</v>
      </c>
      <c r="E92" s="33">
        <v>340</v>
      </c>
      <c r="F92" s="33">
        <v>6115</v>
      </c>
      <c r="G92" s="33">
        <v>1668</v>
      </c>
      <c r="H92" s="33">
        <v>0</v>
      </c>
      <c r="I92" s="33">
        <v>0</v>
      </c>
      <c r="J92" s="33">
        <v>0</v>
      </c>
      <c r="K92" s="33">
        <v>0</v>
      </c>
      <c r="L92" s="33">
        <v>0</v>
      </c>
      <c r="M92" s="33">
        <v>0</v>
      </c>
      <c r="N92" s="33">
        <v>0</v>
      </c>
      <c r="O92" s="33">
        <v>936</v>
      </c>
      <c r="P92" s="33">
        <v>0</v>
      </c>
      <c r="Q92" s="33">
        <v>2448</v>
      </c>
      <c r="R92" s="33">
        <v>6113</v>
      </c>
      <c r="S92" s="33">
        <v>0</v>
      </c>
      <c r="T92" s="33">
        <v>0</v>
      </c>
      <c r="U92" s="33">
        <v>0</v>
      </c>
      <c r="V92" s="33">
        <v>0</v>
      </c>
      <c r="W92" s="33">
        <v>0</v>
      </c>
      <c r="X92" s="13">
        <f t="shared" si="9"/>
        <v>17280</v>
      </c>
      <c r="Y92" s="13">
        <f t="shared" si="10"/>
        <v>0</v>
      </c>
      <c r="Z92" s="13">
        <f t="shared" si="11"/>
        <v>340</v>
      </c>
      <c r="AA92" s="13">
        <f t="shared" si="6"/>
        <v>354618</v>
      </c>
      <c r="AB92" s="13">
        <f t="shared" si="7"/>
        <v>4616</v>
      </c>
      <c r="AC92" s="13">
        <f t="shared" si="8"/>
        <v>88027</v>
      </c>
    </row>
    <row r="93" spans="1:29" x14ac:dyDescent="0.25">
      <c r="A93" s="32" t="s">
        <v>179</v>
      </c>
      <c r="B93" s="30">
        <v>39</v>
      </c>
      <c r="C93" s="30" t="s">
        <v>218</v>
      </c>
      <c r="D93" s="33">
        <v>0</v>
      </c>
      <c r="E93" s="33">
        <v>692</v>
      </c>
      <c r="F93" s="33">
        <v>6873</v>
      </c>
      <c r="G93" s="33">
        <v>2085</v>
      </c>
      <c r="H93" s="33">
        <v>0</v>
      </c>
      <c r="I93" s="33">
        <v>0</v>
      </c>
      <c r="J93" s="33">
        <v>0</v>
      </c>
      <c r="K93" s="33">
        <v>0</v>
      </c>
      <c r="L93" s="33">
        <v>14028</v>
      </c>
      <c r="M93" s="33">
        <v>0</v>
      </c>
      <c r="N93" s="33">
        <v>0</v>
      </c>
      <c r="O93" s="33">
        <v>4840</v>
      </c>
      <c r="P93" s="33">
        <v>0</v>
      </c>
      <c r="Q93" s="33">
        <v>1194</v>
      </c>
      <c r="R93" s="33">
        <v>5545</v>
      </c>
      <c r="S93" s="33">
        <v>0</v>
      </c>
      <c r="T93" s="33">
        <v>0</v>
      </c>
      <c r="U93" s="33">
        <v>0</v>
      </c>
      <c r="V93" s="33">
        <v>0</v>
      </c>
      <c r="W93" s="33">
        <v>0</v>
      </c>
      <c r="X93" s="13">
        <f t="shared" si="9"/>
        <v>20537</v>
      </c>
      <c r="Y93" s="13">
        <f t="shared" si="10"/>
        <v>0</v>
      </c>
      <c r="Z93" s="13">
        <f t="shared" si="11"/>
        <v>14720</v>
      </c>
      <c r="AA93" s="13">
        <f t="shared" si="6"/>
        <v>375155</v>
      </c>
      <c r="AB93" s="13">
        <f t="shared" si="7"/>
        <v>4616</v>
      </c>
      <c r="AC93" s="13">
        <f t="shared" si="8"/>
        <v>102747</v>
      </c>
    </row>
    <row r="94" spans="1:29" x14ac:dyDescent="0.25">
      <c r="A94" s="32" t="s">
        <v>179</v>
      </c>
      <c r="B94" s="30">
        <v>40</v>
      </c>
      <c r="C94" s="30" t="s">
        <v>219</v>
      </c>
      <c r="D94" s="33">
        <v>0</v>
      </c>
      <c r="E94" s="33">
        <v>483</v>
      </c>
      <c r="F94" s="33">
        <v>5475</v>
      </c>
      <c r="G94" s="33">
        <v>1166</v>
      </c>
      <c r="H94" s="33">
        <v>0</v>
      </c>
      <c r="I94" s="33">
        <v>0</v>
      </c>
      <c r="J94" s="33">
        <v>0</v>
      </c>
      <c r="K94" s="33">
        <v>0</v>
      </c>
      <c r="L94" s="33">
        <v>29972</v>
      </c>
      <c r="M94" s="33">
        <v>0</v>
      </c>
      <c r="N94" s="33">
        <v>0</v>
      </c>
      <c r="O94" s="33">
        <v>0</v>
      </c>
      <c r="P94" s="33">
        <v>0</v>
      </c>
      <c r="Q94" s="33">
        <v>1263</v>
      </c>
      <c r="R94" s="33">
        <v>4714</v>
      </c>
      <c r="S94" s="33">
        <v>0</v>
      </c>
      <c r="T94" s="33">
        <v>0</v>
      </c>
      <c r="U94" s="33">
        <v>0</v>
      </c>
      <c r="V94" s="33">
        <v>0</v>
      </c>
      <c r="W94" s="33">
        <v>0</v>
      </c>
      <c r="X94" s="13">
        <f t="shared" si="9"/>
        <v>12618</v>
      </c>
      <c r="Y94" s="13">
        <f t="shared" si="10"/>
        <v>0</v>
      </c>
      <c r="Z94" s="13">
        <f t="shared" si="11"/>
        <v>30455</v>
      </c>
      <c r="AA94" s="13">
        <f t="shared" si="6"/>
        <v>387773</v>
      </c>
      <c r="AB94" s="13">
        <f t="shared" si="7"/>
        <v>4616</v>
      </c>
      <c r="AC94" s="13">
        <f t="shared" si="8"/>
        <v>133202</v>
      </c>
    </row>
    <row r="95" spans="1:29" x14ac:dyDescent="0.25">
      <c r="A95" s="32" t="s">
        <v>179</v>
      </c>
      <c r="B95" s="30">
        <v>41</v>
      </c>
      <c r="C95" s="30" t="s">
        <v>220</v>
      </c>
      <c r="D95" s="33">
        <v>0</v>
      </c>
      <c r="E95" s="33">
        <v>241</v>
      </c>
      <c r="F95" s="33">
        <v>3852</v>
      </c>
      <c r="G95" s="33">
        <v>932</v>
      </c>
      <c r="H95" s="33">
        <v>0</v>
      </c>
      <c r="I95" s="33">
        <v>0</v>
      </c>
      <c r="J95" s="33">
        <v>0</v>
      </c>
      <c r="K95" s="33">
        <v>0</v>
      </c>
      <c r="L95" s="33">
        <v>0</v>
      </c>
      <c r="M95" s="33">
        <v>0</v>
      </c>
      <c r="N95" s="33">
        <v>0</v>
      </c>
      <c r="O95" s="33">
        <v>64</v>
      </c>
      <c r="P95" s="33">
        <v>0</v>
      </c>
      <c r="Q95" s="33">
        <v>1473</v>
      </c>
      <c r="R95" s="33">
        <v>5855</v>
      </c>
      <c r="S95" s="33">
        <v>0</v>
      </c>
      <c r="T95" s="33">
        <v>0</v>
      </c>
      <c r="U95" s="33">
        <v>0</v>
      </c>
      <c r="V95" s="33">
        <v>0</v>
      </c>
      <c r="W95" s="33">
        <v>0</v>
      </c>
      <c r="X95" s="13">
        <f t="shared" si="9"/>
        <v>12176</v>
      </c>
      <c r="Y95" s="13">
        <f t="shared" si="10"/>
        <v>0</v>
      </c>
      <c r="Z95" s="13">
        <f t="shared" si="11"/>
        <v>241</v>
      </c>
      <c r="AA95" s="13">
        <f t="shared" si="6"/>
        <v>399949</v>
      </c>
      <c r="AB95" s="13">
        <f t="shared" si="7"/>
        <v>4616</v>
      </c>
      <c r="AC95" s="13">
        <f t="shared" si="8"/>
        <v>133443</v>
      </c>
    </row>
    <row r="96" spans="1:29" x14ac:dyDescent="0.25">
      <c r="A96" s="32" t="s">
        <v>179</v>
      </c>
      <c r="B96" s="30">
        <v>42</v>
      </c>
      <c r="C96" s="30" t="s">
        <v>221</v>
      </c>
      <c r="D96" s="33">
        <v>0</v>
      </c>
      <c r="E96" s="33">
        <v>1034</v>
      </c>
      <c r="F96" s="33">
        <v>3520</v>
      </c>
      <c r="G96" s="33">
        <v>841</v>
      </c>
      <c r="H96" s="33">
        <v>0</v>
      </c>
      <c r="I96" s="33">
        <v>0</v>
      </c>
      <c r="J96" s="33">
        <v>0</v>
      </c>
      <c r="K96" s="33">
        <v>0</v>
      </c>
      <c r="L96" s="33">
        <v>0</v>
      </c>
      <c r="M96" s="33">
        <v>0</v>
      </c>
      <c r="N96" s="33">
        <v>0</v>
      </c>
      <c r="O96" s="33">
        <v>1257</v>
      </c>
      <c r="P96" s="33">
        <v>0</v>
      </c>
      <c r="Q96" s="33">
        <v>1218</v>
      </c>
      <c r="R96" s="33">
        <v>5715</v>
      </c>
      <c r="S96" s="33">
        <v>0</v>
      </c>
      <c r="T96" s="33">
        <v>0</v>
      </c>
      <c r="U96" s="33">
        <v>0</v>
      </c>
      <c r="V96" s="33">
        <v>0</v>
      </c>
      <c r="W96" s="33">
        <v>0</v>
      </c>
      <c r="X96" s="13">
        <f t="shared" si="9"/>
        <v>12551</v>
      </c>
      <c r="Y96" s="13">
        <f t="shared" si="10"/>
        <v>0</v>
      </c>
      <c r="Z96" s="13">
        <f t="shared" si="11"/>
        <v>1034</v>
      </c>
      <c r="AA96" s="13">
        <f t="shared" si="6"/>
        <v>412500</v>
      </c>
      <c r="AB96" s="13">
        <f t="shared" si="7"/>
        <v>4616</v>
      </c>
      <c r="AC96" s="13">
        <f t="shared" si="8"/>
        <v>134477</v>
      </c>
    </row>
    <row r="97" spans="1:29" x14ac:dyDescent="0.25">
      <c r="A97" s="32" t="s">
        <v>179</v>
      </c>
      <c r="B97" s="30">
        <v>43</v>
      </c>
      <c r="C97" s="30" t="s">
        <v>222</v>
      </c>
      <c r="D97" s="33">
        <v>0</v>
      </c>
      <c r="E97" s="33">
        <v>4704</v>
      </c>
      <c r="F97" s="33">
        <v>5630</v>
      </c>
      <c r="G97" s="33">
        <v>949</v>
      </c>
      <c r="H97" s="33">
        <v>0</v>
      </c>
      <c r="I97" s="33">
        <v>0</v>
      </c>
      <c r="J97" s="33">
        <v>0</v>
      </c>
      <c r="K97" s="33">
        <v>0</v>
      </c>
      <c r="L97" s="33">
        <v>0</v>
      </c>
      <c r="M97" s="33">
        <v>0</v>
      </c>
      <c r="N97" s="33">
        <v>0</v>
      </c>
      <c r="O97" s="33">
        <v>0</v>
      </c>
      <c r="P97" s="33">
        <v>0</v>
      </c>
      <c r="Q97" s="33">
        <v>2726</v>
      </c>
      <c r="R97" s="33">
        <v>5816</v>
      </c>
      <c r="S97" s="33">
        <v>0</v>
      </c>
      <c r="T97" s="33">
        <v>0</v>
      </c>
      <c r="U97" s="33">
        <v>0</v>
      </c>
      <c r="V97" s="33">
        <v>0</v>
      </c>
      <c r="W97" s="33">
        <v>0</v>
      </c>
      <c r="X97" s="13">
        <f t="shared" si="9"/>
        <v>15121</v>
      </c>
      <c r="Y97" s="13">
        <f t="shared" si="10"/>
        <v>0</v>
      </c>
      <c r="Z97" s="13">
        <f t="shared" si="11"/>
        <v>4704</v>
      </c>
      <c r="AA97" s="13">
        <f t="shared" si="6"/>
        <v>427621</v>
      </c>
      <c r="AB97" s="13">
        <f t="shared" si="7"/>
        <v>4616</v>
      </c>
      <c r="AC97" s="13">
        <f t="shared" si="8"/>
        <v>139181</v>
      </c>
    </row>
    <row r="98" spans="1:29" x14ac:dyDescent="0.25">
      <c r="A98" s="32" t="s">
        <v>179</v>
      </c>
      <c r="B98" s="30">
        <v>44</v>
      </c>
      <c r="C98" s="30" t="s">
        <v>223</v>
      </c>
      <c r="D98" s="33">
        <v>0</v>
      </c>
      <c r="E98" s="33">
        <v>515</v>
      </c>
      <c r="F98" s="33">
        <v>4444</v>
      </c>
      <c r="G98" s="33">
        <v>798</v>
      </c>
      <c r="H98" s="33">
        <v>0</v>
      </c>
      <c r="I98" s="33">
        <v>0</v>
      </c>
      <c r="J98" s="33">
        <v>0</v>
      </c>
      <c r="K98" s="33">
        <v>0</v>
      </c>
      <c r="L98" s="33">
        <v>12000</v>
      </c>
      <c r="M98" s="33">
        <v>0</v>
      </c>
      <c r="N98" s="33">
        <v>0</v>
      </c>
      <c r="O98" s="33">
        <v>0</v>
      </c>
      <c r="P98" s="33">
        <v>0</v>
      </c>
      <c r="Q98" s="33">
        <v>1605</v>
      </c>
      <c r="R98" s="33">
        <v>6095</v>
      </c>
      <c r="S98" s="33">
        <v>0</v>
      </c>
      <c r="T98" s="33">
        <v>0</v>
      </c>
      <c r="U98" s="33">
        <v>0</v>
      </c>
      <c r="V98" s="33">
        <v>0</v>
      </c>
      <c r="W98" s="33">
        <v>0</v>
      </c>
      <c r="X98" s="13">
        <f t="shared" si="9"/>
        <v>12942</v>
      </c>
      <c r="Y98" s="13">
        <f t="shared" si="10"/>
        <v>0</v>
      </c>
      <c r="Z98" s="13">
        <f t="shared" si="11"/>
        <v>12515</v>
      </c>
      <c r="AA98" s="13">
        <f t="shared" si="6"/>
        <v>440563</v>
      </c>
      <c r="AB98" s="13">
        <f t="shared" si="7"/>
        <v>4616</v>
      </c>
      <c r="AC98" s="13">
        <f t="shared" si="8"/>
        <v>151696</v>
      </c>
    </row>
    <row r="99" spans="1:29" x14ac:dyDescent="0.25">
      <c r="A99" s="32" t="s">
        <v>179</v>
      </c>
      <c r="B99" s="30">
        <v>45</v>
      </c>
      <c r="C99" s="30" t="s">
        <v>224</v>
      </c>
      <c r="D99" s="33">
        <v>0</v>
      </c>
      <c r="E99" s="33">
        <v>858</v>
      </c>
      <c r="F99" s="33">
        <v>4640</v>
      </c>
      <c r="G99" s="33">
        <v>980</v>
      </c>
      <c r="H99" s="33">
        <v>0</v>
      </c>
      <c r="I99" s="33">
        <v>0</v>
      </c>
      <c r="J99" s="33">
        <v>0</v>
      </c>
      <c r="K99" s="33">
        <v>0</v>
      </c>
      <c r="L99" s="33">
        <v>36387</v>
      </c>
      <c r="M99" s="33">
        <v>0</v>
      </c>
      <c r="N99" s="33">
        <v>0</v>
      </c>
      <c r="O99" s="33">
        <v>0</v>
      </c>
      <c r="P99" s="33">
        <v>0</v>
      </c>
      <c r="Q99" s="33">
        <v>2185</v>
      </c>
      <c r="R99" s="33">
        <v>5577</v>
      </c>
      <c r="S99" s="33">
        <v>0</v>
      </c>
      <c r="T99" s="33">
        <v>0</v>
      </c>
      <c r="U99" s="33">
        <v>0</v>
      </c>
      <c r="V99" s="33">
        <v>0</v>
      </c>
      <c r="W99" s="33">
        <v>0</v>
      </c>
      <c r="X99" s="13">
        <f t="shared" si="9"/>
        <v>13382</v>
      </c>
      <c r="Y99" s="13">
        <f t="shared" si="10"/>
        <v>0</v>
      </c>
      <c r="Z99" s="13">
        <f t="shared" si="11"/>
        <v>37245</v>
      </c>
      <c r="AA99" s="13">
        <f t="shared" si="6"/>
        <v>453945</v>
      </c>
      <c r="AB99" s="13">
        <f t="shared" si="7"/>
        <v>4616</v>
      </c>
      <c r="AC99" s="13">
        <f t="shared" si="8"/>
        <v>188941</v>
      </c>
    </row>
    <row r="100" spans="1:29" x14ac:dyDescent="0.25">
      <c r="A100" s="32" t="s">
        <v>179</v>
      </c>
      <c r="B100" s="30">
        <v>46</v>
      </c>
      <c r="C100" s="30" t="s">
        <v>225</v>
      </c>
      <c r="D100" s="33">
        <v>0</v>
      </c>
      <c r="E100" s="33">
        <v>652</v>
      </c>
      <c r="F100" s="33">
        <v>4608</v>
      </c>
      <c r="G100" s="33">
        <v>952</v>
      </c>
      <c r="H100" s="33">
        <v>0</v>
      </c>
      <c r="I100" s="33">
        <v>0</v>
      </c>
      <c r="J100" s="33">
        <v>0</v>
      </c>
      <c r="K100" s="33">
        <v>0</v>
      </c>
      <c r="L100" s="33">
        <v>0</v>
      </c>
      <c r="M100" s="33">
        <v>0</v>
      </c>
      <c r="N100" s="33">
        <v>0</v>
      </c>
      <c r="O100" s="33">
        <v>0</v>
      </c>
      <c r="P100" s="33">
        <v>0</v>
      </c>
      <c r="Q100" s="33">
        <v>1518</v>
      </c>
      <c r="R100" s="33">
        <v>5197</v>
      </c>
      <c r="S100" s="33">
        <v>0</v>
      </c>
      <c r="T100" s="33">
        <v>0</v>
      </c>
      <c r="U100" s="33">
        <v>0</v>
      </c>
      <c r="V100" s="33">
        <v>0</v>
      </c>
      <c r="W100" s="33">
        <v>0</v>
      </c>
      <c r="X100" s="13">
        <f t="shared" si="9"/>
        <v>12275</v>
      </c>
      <c r="Y100" s="13">
        <f t="shared" si="10"/>
        <v>0</v>
      </c>
      <c r="Z100" s="13">
        <f t="shared" si="11"/>
        <v>652</v>
      </c>
      <c r="AA100" s="13">
        <f t="shared" si="6"/>
        <v>466220</v>
      </c>
      <c r="AB100" s="13">
        <f t="shared" si="7"/>
        <v>4616</v>
      </c>
      <c r="AC100" s="13">
        <f t="shared" si="8"/>
        <v>189593</v>
      </c>
    </row>
    <row r="101" spans="1:29" x14ac:dyDescent="0.25">
      <c r="A101" s="32" t="s">
        <v>179</v>
      </c>
      <c r="B101" s="30">
        <v>47</v>
      </c>
      <c r="C101" s="30" t="s">
        <v>226</v>
      </c>
      <c r="D101" s="33">
        <v>0</v>
      </c>
      <c r="E101" s="33">
        <v>1195</v>
      </c>
      <c r="F101" s="33">
        <v>4970</v>
      </c>
      <c r="G101" s="33">
        <v>1510</v>
      </c>
      <c r="H101" s="33">
        <v>0</v>
      </c>
      <c r="I101" s="33">
        <v>0</v>
      </c>
      <c r="J101" s="33">
        <v>0</v>
      </c>
      <c r="K101" s="33">
        <v>0</v>
      </c>
      <c r="L101" s="33">
        <v>0</v>
      </c>
      <c r="M101" s="33">
        <v>0</v>
      </c>
      <c r="N101" s="33">
        <v>0</v>
      </c>
      <c r="O101" s="33">
        <v>2229</v>
      </c>
      <c r="P101" s="33">
        <v>0</v>
      </c>
      <c r="Q101" s="33">
        <v>2142</v>
      </c>
      <c r="R101" s="33">
        <v>4550</v>
      </c>
      <c r="S101" s="33">
        <v>0</v>
      </c>
      <c r="T101" s="33">
        <v>0</v>
      </c>
      <c r="U101" s="33">
        <v>0</v>
      </c>
      <c r="V101" s="33">
        <v>0</v>
      </c>
      <c r="W101" s="33">
        <v>0</v>
      </c>
      <c r="X101" s="13">
        <f t="shared" si="9"/>
        <v>15401</v>
      </c>
      <c r="Y101" s="13">
        <f t="shared" si="10"/>
        <v>0</v>
      </c>
      <c r="Z101" s="13">
        <f t="shared" si="11"/>
        <v>1195</v>
      </c>
      <c r="AA101" s="13">
        <f t="shared" si="6"/>
        <v>481621</v>
      </c>
      <c r="AB101" s="13">
        <f t="shared" si="7"/>
        <v>4616</v>
      </c>
      <c r="AC101" s="13">
        <f t="shared" si="8"/>
        <v>190788</v>
      </c>
    </row>
    <row r="102" spans="1:29" x14ac:dyDescent="0.25">
      <c r="A102" s="32" t="s">
        <v>179</v>
      </c>
      <c r="B102" s="30">
        <v>48</v>
      </c>
      <c r="C102" s="30" t="s">
        <v>227</v>
      </c>
      <c r="D102" s="33">
        <v>0</v>
      </c>
      <c r="E102" s="33">
        <v>0</v>
      </c>
      <c r="F102" s="33">
        <v>4208</v>
      </c>
      <c r="G102" s="33">
        <v>1562</v>
      </c>
      <c r="H102" s="33">
        <v>0</v>
      </c>
      <c r="I102" s="33">
        <v>0</v>
      </c>
      <c r="J102" s="33">
        <v>0</v>
      </c>
      <c r="K102" s="33">
        <v>0</v>
      </c>
      <c r="L102" s="33">
        <v>0</v>
      </c>
      <c r="M102" s="33">
        <v>0</v>
      </c>
      <c r="N102" s="33">
        <v>0</v>
      </c>
      <c r="O102" s="33">
        <v>0</v>
      </c>
      <c r="P102" s="33">
        <v>0</v>
      </c>
      <c r="Q102" s="33">
        <v>1247</v>
      </c>
      <c r="R102" s="33">
        <v>4657</v>
      </c>
      <c r="S102" s="33">
        <v>0</v>
      </c>
      <c r="T102" s="33">
        <v>0</v>
      </c>
      <c r="U102" s="33">
        <v>0</v>
      </c>
      <c r="V102" s="33">
        <v>0</v>
      </c>
      <c r="W102" s="33">
        <v>0</v>
      </c>
      <c r="X102" s="13">
        <f t="shared" si="9"/>
        <v>11674</v>
      </c>
      <c r="Y102" s="13">
        <f t="shared" si="10"/>
        <v>0</v>
      </c>
      <c r="Z102" s="13">
        <f t="shared" si="11"/>
        <v>0</v>
      </c>
      <c r="AA102" s="13">
        <f t="shared" si="6"/>
        <v>493295</v>
      </c>
      <c r="AB102" s="13">
        <f t="shared" si="7"/>
        <v>4616</v>
      </c>
      <c r="AC102" s="13">
        <f t="shared" si="8"/>
        <v>190788</v>
      </c>
    </row>
    <row r="103" spans="1:29" x14ac:dyDescent="0.25">
      <c r="A103" s="32" t="s">
        <v>179</v>
      </c>
      <c r="B103" s="30">
        <v>49</v>
      </c>
      <c r="C103" s="30" t="s">
        <v>228</v>
      </c>
      <c r="D103" s="33">
        <v>0</v>
      </c>
      <c r="E103" s="33">
        <v>549</v>
      </c>
      <c r="F103" s="33">
        <v>3927</v>
      </c>
      <c r="G103" s="33">
        <v>1830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644</v>
      </c>
      <c r="R103" s="33">
        <v>4174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X103" s="13">
        <f t="shared" si="9"/>
        <v>10575</v>
      </c>
      <c r="Y103" s="13">
        <f t="shared" si="10"/>
        <v>0</v>
      </c>
      <c r="Z103" s="13">
        <f t="shared" si="11"/>
        <v>549</v>
      </c>
      <c r="AA103" s="13">
        <f t="shared" si="6"/>
        <v>503870</v>
      </c>
      <c r="AB103" s="13">
        <f t="shared" si="7"/>
        <v>4616</v>
      </c>
      <c r="AC103" s="13">
        <f t="shared" si="8"/>
        <v>191337</v>
      </c>
    </row>
    <row r="104" spans="1:29" x14ac:dyDescent="0.25">
      <c r="A104" s="32" t="s">
        <v>179</v>
      </c>
      <c r="B104" s="30">
        <v>50</v>
      </c>
      <c r="C104" s="30" t="s">
        <v>229</v>
      </c>
      <c r="D104" s="33">
        <v>0</v>
      </c>
      <c r="E104" s="33">
        <v>309</v>
      </c>
      <c r="F104" s="33">
        <v>3842</v>
      </c>
      <c r="G104" s="33">
        <v>1926</v>
      </c>
      <c r="H104" s="33">
        <v>0</v>
      </c>
      <c r="I104" s="33">
        <v>0</v>
      </c>
      <c r="J104" s="33">
        <v>0</v>
      </c>
      <c r="K104" s="33">
        <v>0</v>
      </c>
      <c r="L104" s="33">
        <v>0</v>
      </c>
      <c r="M104" s="33">
        <v>0</v>
      </c>
      <c r="N104" s="33">
        <v>0</v>
      </c>
      <c r="O104" s="33">
        <v>0</v>
      </c>
      <c r="P104" s="33">
        <v>0</v>
      </c>
      <c r="Q104" s="33">
        <v>1201</v>
      </c>
      <c r="R104" s="33">
        <v>4042</v>
      </c>
      <c r="S104" s="33">
        <v>0</v>
      </c>
      <c r="T104" s="33">
        <v>0</v>
      </c>
      <c r="U104" s="33">
        <v>0</v>
      </c>
      <c r="V104" s="33">
        <v>0</v>
      </c>
      <c r="W104" s="33">
        <v>0</v>
      </c>
      <c r="X104" s="13">
        <f t="shared" si="9"/>
        <v>11011</v>
      </c>
      <c r="Y104" s="13">
        <f t="shared" si="10"/>
        <v>0</v>
      </c>
      <c r="Z104" s="13">
        <f t="shared" si="11"/>
        <v>309</v>
      </c>
      <c r="AA104" s="13">
        <f t="shared" si="6"/>
        <v>514881</v>
      </c>
      <c r="AB104" s="13">
        <f t="shared" si="7"/>
        <v>4616</v>
      </c>
      <c r="AC104" s="13">
        <f t="shared" si="8"/>
        <v>191646</v>
      </c>
    </row>
    <row r="105" spans="1:29" x14ac:dyDescent="0.25">
      <c r="A105" s="32" t="s">
        <v>179</v>
      </c>
      <c r="B105" s="30">
        <v>51</v>
      </c>
      <c r="C105" s="30" t="s">
        <v>230</v>
      </c>
      <c r="D105" s="33">
        <v>0</v>
      </c>
      <c r="E105" s="33">
        <v>0</v>
      </c>
      <c r="F105" s="33">
        <v>3858</v>
      </c>
      <c r="G105" s="33">
        <v>1369</v>
      </c>
      <c r="H105" s="33">
        <v>0</v>
      </c>
      <c r="I105" s="33">
        <v>0</v>
      </c>
      <c r="J105" s="33">
        <v>0</v>
      </c>
      <c r="K105" s="33">
        <v>0</v>
      </c>
      <c r="L105" s="33">
        <v>0</v>
      </c>
      <c r="M105" s="33">
        <v>0</v>
      </c>
      <c r="N105" s="33">
        <v>0</v>
      </c>
      <c r="O105" s="33">
        <v>0</v>
      </c>
      <c r="P105" s="33">
        <v>0</v>
      </c>
      <c r="Q105" s="33">
        <v>923</v>
      </c>
      <c r="R105" s="33">
        <v>3853</v>
      </c>
      <c r="S105" s="33">
        <v>0</v>
      </c>
      <c r="T105" s="33">
        <v>0</v>
      </c>
      <c r="U105" s="33">
        <v>0</v>
      </c>
      <c r="V105" s="33">
        <v>0</v>
      </c>
      <c r="W105" s="33">
        <v>0</v>
      </c>
      <c r="X105" s="13">
        <f t="shared" si="9"/>
        <v>10003</v>
      </c>
      <c r="Y105" s="13">
        <f t="shared" si="10"/>
        <v>0</v>
      </c>
      <c r="Z105" s="13">
        <f t="shared" si="11"/>
        <v>0</v>
      </c>
      <c r="AA105" s="13">
        <f t="shared" si="6"/>
        <v>524884</v>
      </c>
      <c r="AB105" s="13">
        <f t="shared" si="7"/>
        <v>4616</v>
      </c>
      <c r="AC105" s="13">
        <f t="shared" si="8"/>
        <v>191646</v>
      </c>
    </row>
    <row r="106" spans="1:29" x14ac:dyDescent="0.25">
      <c r="A106" s="32" t="s">
        <v>179</v>
      </c>
      <c r="B106" s="30">
        <v>52</v>
      </c>
      <c r="C106" s="30" t="s">
        <v>231</v>
      </c>
      <c r="D106" s="33">
        <v>0</v>
      </c>
      <c r="E106" s="33">
        <v>0</v>
      </c>
      <c r="F106" s="33">
        <v>2794</v>
      </c>
      <c r="G106" s="33">
        <v>2191</v>
      </c>
      <c r="H106" s="33">
        <v>0</v>
      </c>
      <c r="I106" s="33">
        <v>0</v>
      </c>
      <c r="J106" s="33">
        <v>0</v>
      </c>
      <c r="K106" s="33">
        <v>0</v>
      </c>
      <c r="L106" s="33">
        <v>0</v>
      </c>
      <c r="M106" s="33">
        <v>0</v>
      </c>
      <c r="N106" s="33">
        <v>0</v>
      </c>
      <c r="O106" s="33">
        <v>1064</v>
      </c>
      <c r="P106" s="33">
        <v>0</v>
      </c>
      <c r="Q106" s="33">
        <v>747</v>
      </c>
      <c r="R106" s="33">
        <v>6980</v>
      </c>
      <c r="S106" s="33">
        <v>20</v>
      </c>
      <c r="T106" s="33">
        <v>0</v>
      </c>
      <c r="U106" s="33">
        <v>0</v>
      </c>
      <c r="V106" s="33">
        <v>0</v>
      </c>
      <c r="W106" s="33">
        <v>0</v>
      </c>
      <c r="X106" s="13">
        <f t="shared" si="9"/>
        <v>13776</v>
      </c>
      <c r="Y106" s="13">
        <f t="shared" si="10"/>
        <v>0</v>
      </c>
      <c r="Z106" s="13">
        <f t="shared" si="11"/>
        <v>20</v>
      </c>
      <c r="AA106" s="13">
        <f t="shared" si="6"/>
        <v>538660</v>
      </c>
      <c r="AB106" s="13">
        <f t="shared" si="7"/>
        <v>4616</v>
      </c>
      <c r="AC106" s="13">
        <f t="shared" si="8"/>
        <v>191666</v>
      </c>
    </row>
    <row r="107" spans="1:29" x14ac:dyDescent="0.25">
      <c r="A107" s="35" t="s">
        <v>173</v>
      </c>
      <c r="B107" s="36">
        <v>1</v>
      </c>
      <c r="C107" s="36" t="s">
        <v>121</v>
      </c>
      <c r="D107" s="37">
        <v>0</v>
      </c>
      <c r="E107" s="37">
        <v>0</v>
      </c>
      <c r="F107" s="37">
        <v>3642</v>
      </c>
      <c r="G107" s="37">
        <v>777</v>
      </c>
      <c r="H107" s="37">
        <v>0</v>
      </c>
      <c r="I107" s="37">
        <v>0</v>
      </c>
      <c r="J107" s="37">
        <v>0</v>
      </c>
      <c r="K107" s="37">
        <v>0</v>
      </c>
      <c r="L107" s="37">
        <v>0</v>
      </c>
      <c r="M107" s="37">
        <v>0</v>
      </c>
      <c r="N107" s="37">
        <v>0</v>
      </c>
      <c r="O107" s="37">
        <v>0</v>
      </c>
      <c r="P107" s="37">
        <v>0</v>
      </c>
      <c r="Q107" s="37">
        <v>789</v>
      </c>
      <c r="R107" s="37">
        <v>1882</v>
      </c>
      <c r="S107" s="37">
        <v>0</v>
      </c>
      <c r="T107" s="37">
        <v>0</v>
      </c>
      <c r="U107" s="37">
        <v>0</v>
      </c>
      <c r="V107" s="37">
        <v>0</v>
      </c>
      <c r="W107" s="37">
        <v>0</v>
      </c>
      <c r="X107" s="42">
        <f t="shared" si="9"/>
        <v>7090</v>
      </c>
      <c r="Y107" s="42">
        <f t="shared" si="10"/>
        <v>0</v>
      </c>
      <c r="Z107" s="42">
        <f t="shared" si="11"/>
        <v>0</v>
      </c>
      <c r="AA107" s="42">
        <f>X107</f>
        <v>7090</v>
      </c>
      <c r="AB107" s="42">
        <f>Y107</f>
        <v>0</v>
      </c>
      <c r="AC107" s="42">
        <f>Z107</f>
        <v>0</v>
      </c>
    </row>
    <row r="108" spans="1:29" x14ac:dyDescent="0.25">
      <c r="A108" s="32" t="s">
        <v>173</v>
      </c>
      <c r="B108" s="30">
        <v>2</v>
      </c>
      <c r="C108" s="30" t="s">
        <v>122</v>
      </c>
      <c r="D108" s="33">
        <v>0</v>
      </c>
      <c r="E108" s="33">
        <v>0</v>
      </c>
      <c r="F108" s="33">
        <v>3281</v>
      </c>
      <c r="G108" s="33">
        <v>738</v>
      </c>
      <c r="H108" s="33">
        <v>0</v>
      </c>
      <c r="I108" s="33">
        <v>0</v>
      </c>
      <c r="J108" s="33">
        <v>0</v>
      </c>
      <c r="K108" s="33">
        <v>0</v>
      </c>
      <c r="L108" s="33">
        <v>0</v>
      </c>
      <c r="M108" s="33">
        <v>0</v>
      </c>
      <c r="N108" s="33">
        <v>0</v>
      </c>
      <c r="O108" s="33">
        <v>0</v>
      </c>
      <c r="P108" s="33">
        <v>0</v>
      </c>
      <c r="Q108" s="33">
        <v>1447</v>
      </c>
      <c r="R108" s="33">
        <v>2562</v>
      </c>
      <c r="S108" s="33">
        <v>0</v>
      </c>
      <c r="T108" s="33">
        <v>28476</v>
      </c>
      <c r="U108" s="33">
        <v>0</v>
      </c>
      <c r="V108" s="33">
        <v>0</v>
      </c>
      <c r="W108" s="33">
        <v>0</v>
      </c>
      <c r="X108" s="13">
        <f t="shared" si="9"/>
        <v>8028</v>
      </c>
      <c r="Y108" s="13">
        <f t="shared" si="10"/>
        <v>0</v>
      </c>
      <c r="Z108" s="13">
        <f t="shared" si="11"/>
        <v>28476</v>
      </c>
      <c r="AA108" s="13">
        <f>AA107+X108</f>
        <v>15118</v>
      </c>
      <c r="AB108" s="13">
        <f>AB107+Y108</f>
        <v>0</v>
      </c>
      <c r="AC108" s="13">
        <f>AC107+Z108</f>
        <v>28476</v>
      </c>
    </row>
    <row r="109" spans="1:29" x14ac:dyDescent="0.25">
      <c r="A109" s="32" t="s">
        <v>173</v>
      </c>
      <c r="B109" s="30">
        <v>3</v>
      </c>
      <c r="C109" s="30" t="s">
        <v>123</v>
      </c>
      <c r="D109" s="33">
        <v>0</v>
      </c>
      <c r="E109" s="33">
        <v>0</v>
      </c>
      <c r="F109" s="33">
        <v>4125</v>
      </c>
      <c r="G109" s="33">
        <v>1584</v>
      </c>
      <c r="H109" s="33">
        <v>0</v>
      </c>
      <c r="I109" s="33">
        <v>0</v>
      </c>
      <c r="J109" s="33">
        <v>0</v>
      </c>
      <c r="K109" s="33">
        <v>0</v>
      </c>
      <c r="L109" s="33">
        <v>0</v>
      </c>
      <c r="M109" s="33">
        <v>0</v>
      </c>
      <c r="N109" s="33">
        <v>0</v>
      </c>
      <c r="O109" s="33">
        <v>0</v>
      </c>
      <c r="P109" s="33">
        <v>0</v>
      </c>
      <c r="Q109" s="33">
        <v>1237</v>
      </c>
      <c r="R109" s="33">
        <v>0</v>
      </c>
      <c r="S109" s="33">
        <v>0</v>
      </c>
      <c r="T109" s="33">
        <v>24024</v>
      </c>
      <c r="U109" s="33">
        <v>0</v>
      </c>
      <c r="V109" s="33">
        <v>0</v>
      </c>
      <c r="W109" s="33">
        <v>0</v>
      </c>
      <c r="X109" s="13">
        <f t="shared" si="9"/>
        <v>6946</v>
      </c>
      <c r="Y109" s="13">
        <f t="shared" si="10"/>
        <v>0</v>
      </c>
      <c r="Z109" s="13">
        <f t="shared" si="11"/>
        <v>24024</v>
      </c>
      <c r="AA109" s="13">
        <f t="shared" ref="AA109:AA158" si="12">AA108+X109</f>
        <v>22064</v>
      </c>
      <c r="AB109" s="13">
        <f t="shared" ref="AB109:AB158" si="13">AB108+Y109</f>
        <v>0</v>
      </c>
      <c r="AC109" s="13">
        <f t="shared" ref="AC109:AC158" si="14">AC108+Z109</f>
        <v>52500</v>
      </c>
    </row>
    <row r="110" spans="1:29" x14ac:dyDescent="0.25">
      <c r="A110" s="32" t="s">
        <v>173</v>
      </c>
      <c r="B110" s="30">
        <v>4</v>
      </c>
      <c r="C110" s="30" t="s">
        <v>124</v>
      </c>
      <c r="D110" s="33">
        <v>0</v>
      </c>
      <c r="E110" s="33">
        <v>0</v>
      </c>
      <c r="F110" s="33">
        <v>4450</v>
      </c>
      <c r="G110" s="33">
        <v>2917</v>
      </c>
      <c r="H110" s="33">
        <v>0</v>
      </c>
      <c r="I110" s="33">
        <v>0</v>
      </c>
      <c r="J110" s="33">
        <v>0</v>
      </c>
      <c r="K110" s="33">
        <v>0</v>
      </c>
      <c r="L110" s="33">
        <v>0</v>
      </c>
      <c r="M110" s="33">
        <v>0</v>
      </c>
      <c r="N110" s="33">
        <v>0</v>
      </c>
      <c r="O110" s="33">
        <v>6680</v>
      </c>
      <c r="P110" s="33">
        <v>0</v>
      </c>
      <c r="Q110" s="33">
        <v>478</v>
      </c>
      <c r="R110" s="33">
        <v>0</v>
      </c>
      <c r="S110" s="33">
        <v>0</v>
      </c>
      <c r="T110" s="33">
        <v>0</v>
      </c>
      <c r="U110" s="33">
        <v>0</v>
      </c>
      <c r="V110" s="33">
        <v>0</v>
      </c>
      <c r="W110" s="33">
        <v>0</v>
      </c>
      <c r="X110" s="13">
        <f t="shared" si="9"/>
        <v>14525</v>
      </c>
      <c r="Y110" s="13">
        <f t="shared" si="10"/>
        <v>0</v>
      </c>
      <c r="Z110" s="13">
        <f t="shared" si="11"/>
        <v>0</v>
      </c>
      <c r="AA110" s="13">
        <f t="shared" si="12"/>
        <v>36589</v>
      </c>
      <c r="AB110" s="13">
        <f t="shared" si="13"/>
        <v>0</v>
      </c>
      <c r="AC110" s="13">
        <f t="shared" si="14"/>
        <v>52500</v>
      </c>
    </row>
    <row r="111" spans="1:29" x14ac:dyDescent="0.25">
      <c r="A111" s="32" t="s">
        <v>173</v>
      </c>
      <c r="B111" s="30">
        <v>5</v>
      </c>
      <c r="C111" s="30" t="s">
        <v>125</v>
      </c>
      <c r="D111" s="33">
        <v>0</v>
      </c>
      <c r="E111" s="33">
        <v>0</v>
      </c>
      <c r="F111" s="33">
        <v>3636</v>
      </c>
      <c r="G111" s="33">
        <v>376</v>
      </c>
      <c r="H111" s="33">
        <v>0</v>
      </c>
      <c r="I111" s="33">
        <v>0</v>
      </c>
      <c r="J111" s="33">
        <v>0</v>
      </c>
      <c r="K111" s="33">
        <v>0</v>
      </c>
      <c r="L111" s="33">
        <v>45060</v>
      </c>
      <c r="M111" s="33">
        <v>0</v>
      </c>
      <c r="N111" s="33">
        <v>0</v>
      </c>
      <c r="O111" s="33">
        <v>473</v>
      </c>
      <c r="P111" s="33">
        <v>0</v>
      </c>
      <c r="Q111" s="33">
        <v>244</v>
      </c>
      <c r="R111" s="33">
        <v>0</v>
      </c>
      <c r="S111" s="33">
        <v>0</v>
      </c>
      <c r="T111" s="33">
        <v>0</v>
      </c>
      <c r="U111" s="33">
        <v>0</v>
      </c>
      <c r="V111" s="33">
        <v>0</v>
      </c>
      <c r="W111" s="33">
        <v>0</v>
      </c>
      <c r="X111" s="13">
        <f t="shared" si="9"/>
        <v>4729</v>
      </c>
      <c r="Y111" s="13">
        <f t="shared" si="10"/>
        <v>0</v>
      </c>
      <c r="Z111" s="13">
        <f t="shared" si="11"/>
        <v>45060</v>
      </c>
      <c r="AA111" s="13">
        <f t="shared" si="12"/>
        <v>41318</v>
      </c>
      <c r="AB111" s="13">
        <f t="shared" si="13"/>
        <v>0</v>
      </c>
      <c r="AC111" s="13">
        <f t="shared" si="14"/>
        <v>97560</v>
      </c>
    </row>
    <row r="112" spans="1:29" x14ac:dyDescent="0.25">
      <c r="A112" s="32" t="s">
        <v>173</v>
      </c>
      <c r="B112" s="30">
        <v>6</v>
      </c>
      <c r="C112" s="30" t="s">
        <v>126</v>
      </c>
      <c r="D112" s="33">
        <v>0</v>
      </c>
      <c r="E112" s="33">
        <v>0</v>
      </c>
      <c r="F112" s="33">
        <v>3420</v>
      </c>
      <c r="G112" s="33">
        <v>760</v>
      </c>
      <c r="H112" s="33">
        <v>0</v>
      </c>
      <c r="I112" s="33">
        <v>0</v>
      </c>
      <c r="J112" s="33">
        <v>0</v>
      </c>
      <c r="K112" s="33">
        <v>0</v>
      </c>
      <c r="L112" s="33">
        <v>0</v>
      </c>
      <c r="M112" s="33">
        <v>0</v>
      </c>
      <c r="N112" s="33">
        <v>0</v>
      </c>
      <c r="O112" s="33">
        <v>635</v>
      </c>
      <c r="P112" s="33">
        <v>0</v>
      </c>
      <c r="Q112" s="33">
        <v>172</v>
      </c>
      <c r="R112" s="33">
        <v>0</v>
      </c>
      <c r="S112" s="33">
        <v>0</v>
      </c>
      <c r="T112" s="33">
        <v>0</v>
      </c>
      <c r="U112" s="33">
        <v>0</v>
      </c>
      <c r="V112" s="33">
        <v>0</v>
      </c>
      <c r="W112" s="33">
        <v>0</v>
      </c>
      <c r="X112" s="13">
        <f t="shared" si="9"/>
        <v>4987</v>
      </c>
      <c r="Y112" s="13">
        <f t="shared" si="10"/>
        <v>0</v>
      </c>
      <c r="Z112" s="13">
        <f t="shared" si="11"/>
        <v>0</v>
      </c>
      <c r="AA112" s="13">
        <f t="shared" si="12"/>
        <v>46305</v>
      </c>
      <c r="AB112" s="13">
        <f t="shared" si="13"/>
        <v>0</v>
      </c>
      <c r="AC112" s="13">
        <f t="shared" si="14"/>
        <v>97560</v>
      </c>
    </row>
    <row r="113" spans="1:29" x14ac:dyDescent="0.25">
      <c r="A113" s="32" t="s">
        <v>173</v>
      </c>
      <c r="B113" s="30">
        <v>7</v>
      </c>
      <c r="C113" s="30" t="s">
        <v>127</v>
      </c>
      <c r="D113" s="33">
        <v>0</v>
      </c>
      <c r="E113" s="33">
        <v>0</v>
      </c>
      <c r="F113" s="33">
        <v>4273</v>
      </c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0</v>
      </c>
      <c r="M113" s="33">
        <v>0</v>
      </c>
      <c r="N113" s="33">
        <v>0</v>
      </c>
      <c r="O113" s="33">
        <v>613</v>
      </c>
      <c r="P113" s="33">
        <v>0</v>
      </c>
      <c r="Q113" s="33">
        <v>481</v>
      </c>
      <c r="R113" s="33">
        <v>0</v>
      </c>
      <c r="S113" s="33">
        <v>0</v>
      </c>
      <c r="T113" s="33">
        <v>0</v>
      </c>
      <c r="U113" s="33">
        <v>0</v>
      </c>
      <c r="V113" s="33">
        <v>0</v>
      </c>
      <c r="W113" s="33">
        <v>0</v>
      </c>
      <c r="X113" s="13">
        <f t="shared" si="9"/>
        <v>5367</v>
      </c>
      <c r="Y113" s="13">
        <f t="shared" si="10"/>
        <v>0</v>
      </c>
      <c r="Z113" s="13">
        <f t="shared" si="11"/>
        <v>0</v>
      </c>
      <c r="AA113" s="13">
        <f t="shared" si="12"/>
        <v>51672</v>
      </c>
      <c r="AB113" s="13">
        <f t="shared" si="13"/>
        <v>0</v>
      </c>
      <c r="AC113" s="13">
        <f t="shared" si="14"/>
        <v>97560</v>
      </c>
    </row>
    <row r="114" spans="1:29" x14ac:dyDescent="0.25">
      <c r="A114" s="32" t="s">
        <v>173</v>
      </c>
      <c r="B114" s="30">
        <v>8</v>
      </c>
      <c r="C114" s="30" t="s">
        <v>128</v>
      </c>
      <c r="D114" s="33">
        <v>21</v>
      </c>
      <c r="E114" s="33">
        <v>0</v>
      </c>
      <c r="F114" s="33">
        <v>5717</v>
      </c>
      <c r="G114" s="33">
        <v>411</v>
      </c>
      <c r="H114" s="33">
        <v>0</v>
      </c>
      <c r="I114" s="33">
        <v>0</v>
      </c>
      <c r="J114" s="33">
        <v>0</v>
      </c>
      <c r="K114" s="33">
        <v>0</v>
      </c>
      <c r="L114" s="33">
        <v>0</v>
      </c>
      <c r="M114" s="33">
        <v>0</v>
      </c>
      <c r="N114" s="33">
        <v>0</v>
      </c>
      <c r="O114" s="33">
        <v>2602</v>
      </c>
      <c r="P114" s="33">
        <v>0</v>
      </c>
      <c r="Q114" s="33">
        <v>620</v>
      </c>
      <c r="R114" s="33">
        <v>0</v>
      </c>
      <c r="S114" s="33">
        <v>0</v>
      </c>
      <c r="T114" s="33">
        <v>0</v>
      </c>
      <c r="U114" s="33">
        <v>0</v>
      </c>
      <c r="V114" s="33">
        <v>0</v>
      </c>
      <c r="W114" s="33">
        <v>0</v>
      </c>
      <c r="X114" s="13">
        <f t="shared" si="9"/>
        <v>9350</v>
      </c>
      <c r="Y114" s="13">
        <f t="shared" si="10"/>
        <v>0</v>
      </c>
      <c r="Z114" s="13">
        <f t="shared" si="11"/>
        <v>21</v>
      </c>
      <c r="AA114" s="13">
        <f t="shared" si="12"/>
        <v>61022</v>
      </c>
      <c r="AB114" s="13">
        <f t="shared" si="13"/>
        <v>0</v>
      </c>
      <c r="AC114" s="13">
        <f t="shared" si="14"/>
        <v>97581</v>
      </c>
    </row>
    <row r="115" spans="1:29" x14ac:dyDescent="0.25">
      <c r="A115" s="32" t="s">
        <v>173</v>
      </c>
      <c r="B115" s="30">
        <v>9</v>
      </c>
      <c r="C115" s="30" t="s">
        <v>129</v>
      </c>
      <c r="D115" s="33">
        <v>0</v>
      </c>
      <c r="E115" s="33">
        <v>0</v>
      </c>
      <c r="F115" s="33">
        <v>3712</v>
      </c>
      <c r="G115" s="33">
        <v>101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302</v>
      </c>
      <c r="P115" s="33">
        <v>0</v>
      </c>
      <c r="Q115" s="33">
        <v>309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13">
        <f t="shared" si="9"/>
        <v>4424</v>
      </c>
      <c r="Y115" s="13">
        <f t="shared" si="10"/>
        <v>0</v>
      </c>
      <c r="Z115" s="13">
        <f t="shared" si="11"/>
        <v>0</v>
      </c>
      <c r="AA115" s="13">
        <f t="shared" si="12"/>
        <v>65446</v>
      </c>
      <c r="AB115" s="13">
        <f t="shared" si="13"/>
        <v>0</v>
      </c>
      <c r="AC115" s="13">
        <f t="shared" si="14"/>
        <v>97581</v>
      </c>
    </row>
    <row r="116" spans="1:29" x14ac:dyDescent="0.25">
      <c r="A116" s="32" t="s">
        <v>173</v>
      </c>
      <c r="B116" s="30">
        <v>10</v>
      </c>
      <c r="C116" s="30" t="s">
        <v>130</v>
      </c>
      <c r="D116" s="33">
        <v>0</v>
      </c>
      <c r="E116" s="33">
        <v>0</v>
      </c>
      <c r="F116" s="33">
        <v>4353</v>
      </c>
      <c r="G116" s="33">
        <v>0</v>
      </c>
      <c r="H116" s="33">
        <v>0</v>
      </c>
      <c r="I116" s="33">
        <v>0</v>
      </c>
      <c r="J116" s="33">
        <v>0</v>
      </c>
      <c r="K116" s="33">
        <v>0</v>
      </c>
      <c r="L116" s="33">
        <v>0</v>
      </c>
      <c r="M116" s="33">
        <v>0</v>
      </c>
      <c r="N116" s="33">
        <v>0</v>
      </c>
      <c r="O116" s="33">
        <v>1939</v>
      </c>
      <c r="P116" s="33">
        <v>0</v>
      </c>
      <c r="Q116" s="33">
        <v>593</v>
      </c>
      <c r="R116" s="33">
        <v>0</v>
      </c>
      <c r="S116" s="33">
        <v>0</v>
      </c>
      <c r="T116" s="33">
        <v>0</v>
      </c>
      <c r="U116" s="33">
        <v>0</v>
      </c>
      <c r="V116" s="33">
        <v>0</v>
      </c>
      <c r="W116" s="33">
        <v>878</v>
      </c>
      <c r="X116" s="13">
        <f t="shared" si="9"/>
        <v>6885</v>
      </c>
      <c r="Y116" s="13">
        <f t="shared" si="10"/>
        <v>878</v>
      </c>
      <c r="Z116" s="13">
        <f t="shared" si="11"/>
        <v>0</v>
      </c>
      <c r="AA116" s="13">
        <f t="shared" si="12"/>
        <v>72331</v>
      </c>
      <c r="AB116" s="13">
        <f t="shared" si="13"/>
        <v>878</v>
      </c>
      <c r="AC116" s="13">
        <f t="shared" si="14"/>
        <v>97581</v>
      </c>
    </row>
    <row r="117" spans="1:29" x14ac:dyDescent="0.25">
      <c r="A117" s="32" t="s">
        <v>173</v>
      </c>
      <c r="B117" s="30">
        <v>11</v>
      </c>
      <c r="C117" s="30" t="s">
        <v>131</v>
      </c>
      <c r="D117" s="33">
        <v>0</v>
      </c>
      <c r="E117" s="33">
        <v>0</v>
      </c>
      <c r="F117" s="33">
        <v>5597</v>
      </c>
      <c r="G117" s="33">
        <v>318</v>
      </c>
      <c r="H117" s="33">
        <v>0</v>
      </c>
      <c r="I117" s="33">
        <v>0</v>
      </c>
      <c r="J117" s="33">
        <v>0</v>
      </c>
      <c r="K117" s="33">
        <v>0</v>
      </c>
      <c r="L117" s="33">
        <v>0</v>
      </c>
      <c r="M117" s="33">
        <v>0</v>
      </c>
      <c r="N117" s="33">
        <v>0</v>
      </c>
      <c r="O117" s="33">
        <v>704</v>
      </c>
      <c r="P117" s="33">
        <v>0</v>
      </c>
      <c r="Q117" s="33">
        <v>208</v>
      </c>
      <c r="R117" s="33">
        <v>0</v>
      </c>
      <c r="S117" s="33">
        <v>0</v>
      </c>
      <c r="T117" s="33">
        <v>0</v>
      </c>
      <c r="U117" s="33">
        <v>0</v>
      </c>
      <c r="V117" s="33">
        <v>0</v>
      </c>
      <c r="W117" s="33">
        <v>1098</v>
      </c>
      <c r="X117" s="13">
        <f t="shared" si="9"/>
        <v>6827</v>
      </c>
      <c r="Y117" s="13">
        <f t="shared" si="10"/>
        <v>1098</v>
      </c>
      <c r="Z117" s="13">
        <f t="shared" si="11"/>
        <v>0</v>
      </c>
      <c r="AA117" s="13">
        <f t="shared" si="12"/>
        <v>79158</v>
      </c>
      <c r="AB117" s="13">
        <f t="shared" si="13"/>
        <v>1976</v>
      </c>
      <c r="AC117" s="13">
        <f t="shared" si="14"/>
        <v>97581</v>
      </c>
    </row>
    <row r="118" spans="1:29" x14ac:dyDescent="0.25">
      <c r="A118" s="32" t="s">
        <v>173</v>
      </c>
      <c r="B118" s="30">
        <v>12</v>
      </c>
      <c r="C118" s="30" t="s">
        <v>132</v>
      </c>
      <c r="D118" s="33">
        <v>0</v>
      </c>
      <c r="E118" s="33">
        <v>0</v>
      </c>
      <c r="F118" s="33">
        <v>6105</v>
      </c>
      <c r="G118" s="33">
        <v>0</v>
      </c>
      <c r="H118" s="33">
        <v>0</v>
      </c>
      <c r="I118" s="33">
        <v>0</v>
      </c>
      <c r="J118" s="33">
        <v>0</v>
      </c>
      <c r="K118" s="33">
        <v>0</v>
      </c>
      <c r="L118" s="33">
        <v>0</v>
      </c>
      <c r="M118" s="33">
        <v>0</v>
      </c>
      <c r="N118" s="33">
        <v>0</v>
      </c>
      <c r="O118" s="33">
        <v>652</v>
      </c>
      <c r="P118" s="33">
        <v>0</v>
      </c>
      <c r="Q118" s="33">
        <v>312</v>
      </c>
      <c r="R118" s="33">
        <v>0</v>
      </c>
      <c r="S118" s="33">
        <v>0</v>
      </c>
      <c r="T118" s="33">
        <v>0</v>
      </c>
      <c r="U118" s="33">
        <v>0</v>
      </c>
      <c r="V118" s="33">
        <v>0</v>
      </c>
      <c r="W118" s="33">
        <v>0</v>
      </c>
      <c r="X118" s="13">
        <f t="shared" si="9"/>
        <v>7069</v>
      </c>
      <c r="Y118" s="13">
        <f t="shared" si="10"/>
        <v>0</v>
      </c>
      <c r="Z118" s="13">
        <f t="shared" si="11"/>
        <v>0</v>
      </c>
      <c r="AA118" s="13">
        <f t="shared" si="12"/>
        <v>86227</v>
      </c>
      <c r="AB118" s="13">
        <f t="shared" si="13"/>
        <v>1976</v>
      </c>
      <c r="AC118" s="13">
        <f t="shared" si="14"/>
        <v>97581</v>
      </c>
    </row>
    <row r="119" spans="1:29" x14ac:dyDescent="0.25">
      <c r="A119" s="32" t="s">
        <v>173</v>
      </c>
      <c r="B119" s="30">
        <v>13</v>
      </c>
      <c r="C119" s="30" t="s">
        <v>133</v>
      </c>
      <c r="D119" s="33">
        <v>21</v>
      </c>
      <c r="E119" s="33">
        <v>0</v>
      </c>
      <c r="F119" s="33">
        <v>4945</v>
      </c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0</v>
      </c>
      <c r="M119" s="33">
        <v>0</v>
      </c>
      <c r="N119" s="33">
        <v>0</v>
      </c>
      <c r="O119" s="33">
        <v>2241</v>
      </c>
      <c r="P119" s="33">
        <v>0</v>
      </c>
      <c r="Q119" s="33">
        <v>138</v>
      </c>
      <c r="R119" s="33">
        <v>0</v>
      </c>
      <c r="S119" s="33">
        <v>0</v>
      </c>
      <c r="T119" s="33">
        <v>0</v>
      </c>
      <c r="U119" s="33">
        <v>0</v>
      </c>
      <c r="V119" s="33">
        <v>0</v>
      </c>
      <c r="W119" s="33">
        <v>1312</v>
      </c>
      <c r="X119" s="13">
        <f t="shared" si="9"/>
        <v>7324</v>
      </c>
      <c r="Y119" s="13">
        <f t="shared" si="10"/>
        <v>1312</v>
      </c>
      <c r="Z119" s="13">
        <f t="shared" si="11"/>
        <v>21</v>
      </c>
      <c r="AA119" s="13">
        <f t="shared" si="12"/>
        <v>93551</v>
      </c>
      <c r="AB119" s="13">
        <f t="shared" si="13"/>
        <v>3288</v>
      </c>
      <c r="AC119" s="13">
        <f t="shared" si="14"/>
        <v>97602</v>
      </c>
    </row>
    <row r="120" spans="1:29" x14ac:dyDescent="0.25">
      <c r="A120" s="32" t="s">
        <v>173</v>
      </c>
      <c r="B120" s="30">
        <v>14</v>
      </c>
      <c r="C120" s="30" t="s">
        <v>134</v>
      </c>
      <c r="D120" s="33">
        <v>0</v>
      </c>
      <c r="E120" s="33">
        <v>0</v>
      </c>
      <c r="F120" s="33">
        <v>3786</v>
      </c>
      <c r="G120" s="33">
        <v>0</v>
      </c>
      <c r="H120" s="33">
        <v>0</v>
      </c>
      <c r="I120" s="33">
        <v>0</v>
      </c>
      <c r="J120" s="33">
        <v>0</v>
      </c>
      <c r="K120" s="33">
        <v>0</v>
      </c>
      <c r="L120" s="33">
        <v>0</v>
      </c>
      <c r="M120" s="33">
        <v>0</v>
      </c>
      <c r="N120" s="33">
        <v>0</v>
      </c>
      <c r="O120" s="33">
        <v>509</v>
      </c>
      <c r="P120" s="33">
        <v>0</v>
      </c>
      <c r="Q120" s="33">
        <v>140</v>
      </c>
      <c r="R120" s="33">
        <v>0</v>
      </c>
      <c r="S120" s="33">
        <v>0</v>
      </c>
      <c r="T120" s="33">
        <v>0</v>
      </c>
      <c r="U120" s="33">
        <v>0</v>
      </c>
      <c r="V120" s="33">
        <v>0</v>
      </c>
      <c r="W120" s="33">
        <v>1907</v>
      </c>
      <c r="X120" s="13">
        <f t="shared" si="9"/>
        <v>4435</v>
      </c>
      <c r="Y120" s="13">
        <f t="shared" si="10"/>
        <v>1907</v>
      </c>
      <c r="Z120" s="13">
        <f t="shared" si="11"/>
        <v>0</v>
      </c>
      <c r="AA120" s="13">
        <f t="shared" si="12"/>
        <v>97986</v>
      </c>
      <c r="AB120" s="13">
        <f t="shared" si="13"/>
        <v>5195</v>
      </c>
      <c r="AC120" s="13">
        <f t="shared" si="14"/>
        <v>97602</v>
      </c>
    </row>
    <row r="121" spans="1:29" x14ac:dyDescent="0.25">
      <c r="A121" s="32" t="s">
        <v>173</v>
      </c>
      <c r="B121" s="30">
        <v>15</v>
      </c>
      <c r="C121" s="30" t="s">
        <v>135</v>
      </c>
      <c r="D121" s="33">
        <v>0</v>
      </c>
      <c r="E121" s="33">
        <v>0</v>
      </c>
      <c r="F121" s="33">
        <v>4229</v>
      </c>
      <c r="G121" s="33">
        <v>350</v>
      </c>
      <c r="H121" s="33">
        <v>0</v>
      </c>
      <c r="I121" s="33">
        <v>0</v>
      </c>
      <c r="J121" s="33">
        <v>0</v>
      </c>
      <c r="K121" s="33">
        <v>0</v>
      </c>
      <c r="L121" s="33">
        <v>0</v>
      </c>
      <c r="M121" s="33">
        <v>0</v>
      </c>
      <c r="N121" s="33">
        <v>0</v>
      </c>
      <c r="O121" s="33">
        <v>646</v>
      </c>
      <c r="P121" s="33">
        <v>0</v>
      </c>
      <c r="Q121" s="33">
        <v>947</v>
      </c>
      <c r="R121" s="33">
        <v>0</v>
      </c>
      <c r="S121" s="33">
        <v>0</v>
      </c>
      <c r="T121" s="33">
        <v>0</v>
      </c>
      <c r="U121" s="33">
        <v>0</v>
      </c>
      <c r="V121" s="33">
        <v>0</v>
      </c>
      <c r="W121" s="33">
        <v>1257</v>
      </c>
      <c r="X121" s="13">
        <f t="shared" si="9"/>
        <v>6172</v>
      </c>
      <c r="Y121" s="13">
        <f t="shared" si="10"/>
        <v>1257</v>
      </c>
      <c r="Z121" s="13">
        <f t="shared" si="11"/>
        <v>0</v>
      </c>
      <c r="AA121" s="13">
        <f t="shared" si="12"/>
        <v>104158</v>
      </c>
      <c r="AB121" s="13">
        <f t="shared" si="13"/>
        <v>6452</v>
      </c>
      <c r="AC121" s="13">
        <f t="shared" si="14"/>
        <v>97602</v>
      </c>
    </row>
    <row r="122" spans="1:29" x14ac:dyDescent="0.25">
      <c r="A122" s="32" t="s">
        <v>173</v>
      </c>
      <c r="B122" s="30">
        <v>16</v>
      </c>
      <c r="C122" s="30" t="s">
        <v>136</v>
      </c>
      <c r="D122" s="33">
        <v>0</v>
      </c>
      <c r="E122" s="33">
        <v>0</v>
      </c>
      <c r="F122" s="33">
        <v>5324</v>
      </c>
      <c r="G122" s="33">
        <v>64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307</v>
      </c>
      <c r="P122" s="33">
        <v>0</v>
      </c>
      <c r="Q122" s="33">
        <v>557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1895</v>
      </c>
      <c r="X122" s="13">
        <f t="shared" si="9"/>
        <v>6252</v>
      </c>
      <c r="Y122" s="13">
        <f t="shared" si="10"/>
        <v>1895</v>
      </c>
      <c r="Z122" s="13">
        <f t="shared" si="11"/>
        <v>0</v>
      </c>
      <c r="AA122" s="13">
        <f t="shared" si="12"/>
        <v>110410</v>
      </c>
      <c r="AB122" s="13">
        <f t="shared" si="13"/>
        <v>8347</v>
      </c>
      <c r="AC122" s="13">
        <f t="shared" si="14"/>
        <v>97602</v>
      </c>
    </row>
    <row r="123" spans="1:29" x14ac:dyDescent="0.25">
      <c r="A123" s="32" t="s">
        <v>173</v>
      </c>
      <c r="B123" s="30">
        <v>17</v>
      </c>
      <c r="C123" s="30" t="s">
        <v>137</v>
      </c>
      <c r="D123" s="33">
        <v>0</v>
      </c>
      <c r="E123" s="33">
        <v>0</v>
      </c>
      <c r="F123" s="33">
        <v>6035</v>
      </c>
      <c r="G123" s="33">
        <v>104</v>
      </c>
      <c r="H123" s="33">
        <v>0</v>
      </c>
      <c r="I123" s="33">
        <v>0</v>
      </c>
      <c r="J123" s="33">
        <v>0</v>
      </c>
      <c r="K123" s="33">
        <v>0</v>
      </c>
      <c r="L123" s="33">
        <v>0</v>
      </c>
      <c r="M123" s="33">
        <v>0</v>
      </c>
      <c r="N123" s="33">
        <v>0</v>
      </c>
      <c r="O123" s="33">
        <v>2086</v>
      </c>
      <c r="P123" s="33">
        <v>0</v>
      </c>
      <c r="Q123" s="33">
        <v>664</v>
      </c>
      <c r="R123" s="33">
        <v>0</v>
      </c>
      <c r="S123" s="33">
        <v>0</v>
      </c>
      <c r="T123" s="33">
        <v>0</v>
      </c>
      <c r="U123" s="33">
        <v>0</v>
      </c>
      <c r="V123" s="33">
        <v>0</v>
      </c>
      <c r="W123" s="33">
        <v>596</v>
      </c>
      <c r="X123" s="13">
        <f t="shared" si="9"/>
        <v>8889</v>
      </c>
      <c r="Y123" s="13">
        <f t="shared" si="10"/>
        <v>596</v>
      </c>
      <c r="Z123" s="13">
        <f t="shared" si="11"/>
        <v>0</v>
      </c>
      <c r="AA123" s="13">
        <f t="shared" si="12"/>
        <v>119299</v>
      </c>
      <c r="AB123" s="13">
        <f t="shared" si="13"/>
        <v>8943</v>
      </c>
      <c r="AC123" s="13">
        <f t="shared" si="14"/>
        <v>97602</v>
      </c>
    </row>
    <row r="124" spans="1:29" x14ac:dyDescent="0.25">
      <c r="A124" s="32" t="s">
        <v>173</v>
      </c>
      <c r="B124" s="30">
        <v>18</v>
      </c>
      <c r="C124" s="30" t="s">
        <v>138</v>
      </c>
      <c r="D124" s="33">
        <v>0</v>
      </c>
      <c r="E124" s="33">
        <v>0</v>
      </c>
      <c r="F124" s="33">
        <v>3872</v>
      </c>
      <c r="G124" s="33">
        <v>349</v>
      </c>
      <c r="H124" s="33">
        <v>0</v>
      </c>
      <c r="I124" s="33">
        <v>0</v>
      </c>
      <c r="J124" s="33">
        <v>0</v>
      </c>
      <c r="K124" s="33">
        <v>0</v>
      </c>
      <c r="L124" s="33">
        <v>0</v>
      </c>
      <c r="M124" s="33">
        <v>0</v>
      </c>
      <c r="N124" s="33">
        <v>0</v>
      </c>
      <c r="O124" s="33">
        <v>1789</v>
      </c>
      <c r="P124" s="33">
        <v>0</v>
      </c>
      <c r="Q124" s="33">
        <v>1033</v>
      </c>
      <c r="R124" s="33">
        <v>0</v>
      </c>
      <c r="S124" s="33">
        <v>0</v>
      </c>
      <c r="T124" s="33">
        <v>0</v>
      </c>
      <c r="U124" s="33">
        <v>0</v>
      </c>
      <c r="V124" s="33">
        <v>0</v>
      </c>
      <c r="W124" s="33">
        <v>0</v>
      </c>
      <c r="X124" s="13">
        <f t="shared" si="9"/>
        <v>7043</v>
      </c>
      <c r="Y124" s="13">
        <f t="shared" si="10"/>
        <v>0</v>
      </c>
      <c r="Z124" s="13">
        <f t="shared" si="11"/>
        <v>0</v>
      </c>
      <c r="AA124" s="13">
        <f t="shared" si="12"/>
        <v>126342</v>
      </c>
      <c r="AB124" s="13">
        <f t="shared" si="13"/>
        <v>8943</v>
      </c>
      <c r="AC124" s="13">
        <f t="shared" si="14"/>
        <v>97602</v>
      </c>
    </row>
    <row r="125" spans="1:29" x14ac:dyDescent="0.25">
      <c r="A125" s="32" t="s">
        <v>173</v>
      </c>
      <c r="B125" s="30">
        <v>19</v>
      </c>
      <c r="C125" s="30" t="s">
        <v>139</v>
      </c>
      <c r="D125" s="33">
        <v>0</v>
      </c>
      <c r="E125" s="33">
        <v>0</v>
      </c>
      <c r="F125" s="33">
        <v>4251</v>
      </c>
      <c r="G125" s="33">
        <v>0</v>
      </c>
      <c r="H125" s="33">
        <v>0</v>
      </c>
      <c r="I125" s="33">
        <v>0</v>
      </c>
      <c r="J125" s="33">
        <v>0</v>
      </c>
      <c r="K125" s="33">
        <v>0</v>
      </c>
      <c r="L125" s="33">
        <v>44000</v>
      </c>
      <c r="M125" s="33">
        <v>0</v>
      </c>
      <c r="N125" s="33">
        <v>0</v>
      </c>
      <c r="O125" s="33">
        <v>767</v>
      </c>
      <c r="P125" s="33">
        <v>0</v>
      </c>
      <c r="Q125" s="33">
        <v>1096</v>
      </c>
      <c r="R125" s="33">
        <v>0</v>
      </c>
      <c r="S125" s="33">
        <v>0</v>
      </c>
      <c r="T125" s="33">
        <v>0</v>
      </c>
      <c r="U125" s="33">
        <v>0</v>
      </c>
      <c r="V125" s="33">
        <v>0</v>
      </c>
      <c r="W125" s="33">
        <v>0</v>
      </c>
      <c r="X125" s="13">
        <f t="shared" si="9"/>
        <v>6114</v>
      </c>
      <c r="Y125" s="13">
        <f t="shared" si="10"/>
        <v>0</v>
      </c>
      <c r="Z125" s="13">
        <f t="shared" si="11"/>
        <v>44000</v>
      </c>
      <c r="AA125" s="13">
        <f t="shared" si="12"/>
        <v>132456</v>
      </c>
      <c r="AB125" s="13">
        <f t="shared" si="13"/>
        <v>8943</v>
      </c>
      <c r="AC125" s="13">
        <f t="shared" si="14"/>
        <v>141602</v>
      </c>
    </row>
    <row r="126" spans="1:29" x14ac:dyDescent="0.25">
      <c r="A126" s="32" t="s">
        <v>173</v>
      </c>
      <c r="B126" s="30">
        <v>20</v>
      </c>
      <c r="C126" s="30" t="s">
        <v>140</v>
      </c>
      <c r="D126" s="33">
        <v>0</v>
      </c>
      <c r="E126" s="33">
        <v>0</v>
      </c>
      <c r="F126" s="33">
        <v>4878</v>
      </c>
      <c r="G126" s="33">
        <v>0</v>
      </c>
      <c r="H126" s="33">
        <v>0</v>
      </c>
      <c r="I126" s="33">
        <v>0</v>
      </c>
      <c r="J126" s="33">
        <v>0</v>
      </c>
      <c r="K126" s="33">
        <v>0</v>
      </c>
      <c r="L126" s="33">
        <v>0</v>
      </c>
      <c r="M126" s="33">
        <v>0</v>
      </c>
      <c r="N126" s="33">
        <v>0</v>
      </c>
      <c r="O126" s="33">
        <v>1353</v>
      </c>
      <c r="P126" s="33">
        <v>0</v>
      </c>
      <c r="Q126" s="33">
        <v>624</v>
      </c>
      <c r="R126" s="33">
        <v>0</v>
      </c>
      <c r="S126" s="33">
        <v>0</v>
      </c>
      <c r="T126" s="33">
        <v>0</v>
      </c>
      <c r="U126" s="33">
        <v>0</v>
      </c>
      <c r="V126" s="33">
        <v>0</v>
      </c>
      <c r="W126" s="33">
        <v>0</v>
      </c>
      <c r="X126" s="13">
        <f t="shared" si="9"/>
        <v>6855</v>
      </c>
      <c r="Y126" s="13">
        <f t="shared" si="10"/>
        <v>0</v>
      </c>
      <c r="Z126" s="13">
        <f t="shared" si="11"/>
        <v>0</v>
      </c>
      <c r="AA126" s="13">
        <f t="shared" si="12"/>
        <v>139311</v>
      </c>
      <c r="AB126" s="13">
        <f t="shared" si="13"/>
        <v>8943</v>
      </c>
      <c r="AC126" s="13">
        <f t="shared" si="14"/>
        <v>141602</v>
      </c>
    </row>
    <row r="127" spans="1:29" x14ac:dyDescent="0.25">
      <c r="A127" s="32" t="s">
        <v>173</v>
      </c>
      <c r="B127" s="30">
        <v>21</v>
      </c>
      <c r="C127" s="30" t="s">
        <v>141</v>
      </c>
      <c r="D127" s="33">
        <v>0</v>
      </c>
      <c r="E127" s="33">
        <v>0</v>
      </c>
      <c r="F127" s="33">
        <v>4920</v>
      </c>
      <c r="G127" s="33">
        <v>0</v>
      </c>
      <c r="H127" s="33">
        <v>0</v>
      </c>
      <c r="I127" s="33">
        <v>0</v>
      </c>
      <c r="J127" s="33">
        <v>0</v>
      </c>
      <c r="K127" s="33">
        <v>0</v>
      </c>
      <c r="L127" s="33">
        <v>0</v>
      </c>
      <c r="M127" s="33">
        <v>0</v>
      </c>
      <c r="N127" s="33">
        <v>0</v>
      </c>
      <c r="O127" s="33">
        <v>2048</v>
      </c>
      <c r="P127" s="33">
        <v>0</v>
      </c>
      <c r="Q127" s="33">
        <v>795</v>
      </c>
      <c r="R127" s="33">
        <v>0</v>
      </c>
      <c r="S127" s="33">
        <v>0</v>
      </c>
      <c r="T127" s="33">
        <v>0</v>
      </c>
      <c r="U127" s="33">
        <v>0</v>
      </c>
      <c r="V127" s="33">
        <v>0</v>
      </c>
      <c r="W127" s="33">
        <v>1891</v>
      </c>
      <c r="X127" s="13">
        <f t="shared" si="9"/>
        <v>7763</v>
      </c>
      <c r="Y127" s="13">
        <f t="shared" si="10"/>
        <v>1891</v>
      </c>
      <c r="Z127" s="13">
        <f t="shared" si="11"/>
        <v>0</v>
      </c>
      <c r="AA127" s="13">
        <f t="shared" si="12"/>
        <v>147074</v>
      </c>
      <c r="AB127" s="13">
        <f t="shared" si="13"/>
        <v>10834</v>
      </c>
      <c r="AC127" s="13">
        <f t="shared" si="14"/>
        <v>141602</v>
      </c>
    </row>
    <row r="128" spans="1:29" x14ac:dyDescent="0.25">
      <c r="A128" s="32" t="s">
        <v>173</v>
      </c>
      <c r="B128" s="30">
        <v>22</v>
      </c>
      <c r="C128" s="30" t="s">
        <v>142</v>
      </c>
      <c r="D128" s="33">
        <v>0</v>
      </c>
      <c r="E128" s="33">
        <v>0</v>
      </c>
      <c r="F128" s="33">
        <v>3803</v>
      </c>
      <c r="G128" s="33">
        <v>0</v>
      </c>
      <c r="H128" s="33">
        <v>0</v>
      </c>
      <c r="I128" s="33">
        <v>0</v>
      </c>
      <c r="J128" s="33">
        <v>0</v>
      </c>
      <c r="K128" s="33">
        <v>0</v>
      </c>
      <c r="L128" s="33">
        <v>0</v>
      </c>
      <c r="M128" s="33">
        <v>0</v>
      </c>
      <c r="N128" s="33">
        <v>0</v>
      </c>
      <c r="O128" s="33">
        <v>6034</v>
      </c>
      <c r="P128" s="33">
        <v>40400</v>
      </c>
      <c r="Q128" s="33">
        <v>516</v>
      </c>
      <c r="R128" s="33">
        <v>0</v>
      </c>
      <c r="S128" s="33">
        <v>0</v>
      </c>
      <c r="T128" s="33">
        <v>0</v>
      </c>
      <c r="U128" s="33">
        <v>0</v>
      </c>
      <c r="V128" s="33">
        <v>0</v>
      </c>
      <c r="W128" s="33">
        <v>2268</v>
      </c>
      <c r="X128" s="13">
        <f t="shared" si="9"/>
        <v>10353</v>
      </c>
      <c r="Y128" s="13">
        <f t="shared" si="10"/>
        <v>2268</v>
      </c>
      <c r="Z128" s="13">
        <f t="shared" si="11"/>
        <v>40400</v>
      </c>
      <c r="AA128" s="13">
        <f t="shared" si="12"/>
        <v>157427</v>
      </c>
      <c r="AB128" s="13">
        <f t="shared" si="13"/>
        <v>13102</v>
      </c>
      <c r="AC128" s="13">
        <f t="shared" si="14"/>
        <v>182002</v>
      </c>
    </row>
    <row r="129" spans="1:29" x14ac:dyDescent="0.25">
      <c r="A129" s="32" t="s">
        <v>173</v>
      </c>
      <c r="B129" s="30">
        <v>23</v>
      </c>
      <c r="C129" s="30" t="s">
        <v>143</v>
      </c>
      <c r="D129" s="33">
        <v>0</v>
      </c>
      <c r="E129" s="33">
        <v>0</v>
      </c>
      <c r="F129" s="33">
        <v>4201</v>
      </c>
      <c r="G129" s="33">
        <v>0</v>
      </c>
      <c r="H129" s="33">
        <v>0</v>
      </c>
      <c r="I129" s="33">
        <v>0</v>
      </c>
      <c r="J129" s="33">
        <v>0</v>
      </c>
      <c r="K129" s="33">
        <v>0</v>
      </c>
      <c r="L129" s="33">
        <v>0</v>
      </c>
      <c r="M129" s="33">
        <v>0</v>
      </c>
      <c r="N129" s="33">
        <v>0</v>
      </c>
      <c r="O129" s="33">
        <v>1380</v>
      </c>
      <c r="P129" s="33">
        <v>0</v>
      </c>
      <c r="Q129" s="33">
        <v>1249</v>
      </c>
      <c r="R129" s="33">
        <v>0</v>
      </c>
      <c r="S129" s="33">
        <v>0</v>
      </c>
      <c r="T129" s="33">
        <v>0</v>
      </c>
      <c r="U129" s="33">
        <v>0</v>
      </c>
      <c r="V129" s="33">
        <v>0</v>
      </c>
      <c r="W129" s="33">
        <v>0</v>
      </c>
      <c r="X129" s="13">
        <f t="shared" si="9"/>
        <v>6830</v>
      </c>
      <c r="Y129" s="13">
        <f t="shared" si="10"/>
        <v>0</v>
      </c>
      <c r="Z129" s="13">
        <f t="shared" si="11"/>
        <v>0</v>
      </c>
      <c r="AA129" s="13">
        <f t="shared" si="12"/>
        <v>164257</v>
      </c>
      <c r="AB129" s="13">
        <f t="shared" si="13"/>
        <v>13102</v>
      </c>
      <c r="AC129" s="13">
        <f t="shared" si="14"/>
        <v>182002</v>
      </c>
    </row>
    <row r="130" spans="1:29" x14ac:dyDescent="0.25">
      <c r="A130" s="32" t="s">
        <v>173</v>
      </c>
      <c r="B130" s="30">
        <v>24</v>
      </c>
      <c r="C130" s="30" t="s">
        <v>144</v>
      </c>
      <c r="D130" s="33">
        <v>0</v>
      </c>
      <c r="E130" s="33">
        <v>0</v>
      </c>
      <c r="F130" s="33">
        <v>5044</v>
      </c>
      <c r="G130" s="33">
        <v>0</v>
      </c>
      <c r="H130" s="33">
        <v>0</v>
      </c>
      <c r="I130" s="33">
        <v>0</v>
      </c>
      <c r="J130" s="33">
        <v>0</v>
      </c>
      <c r="K130" s="33">
        <v>0</v>
      </c>
      <c r="L130" s="33">
        <v>0</v>
      </c>
      <c r="M130" s="33">
        <v>0</v>
      </c>
      <c r="N130" s="33">
        <v>0</v>
      </c>
      <c r="O130" s="33">
        <v>2660</v>
      </c>
      <c r="P130" s="33">
        <v>0</v>
      </c>
      <c r="Q130" s="33">
        <v>903</v>
      </c>
      <c r="R130" s="33">
        <v>0</v>
      </c>
      <c r="S130" s="33">
        <v>0</v>
      </c>
      <c r="T130" s="33">
        <v>0</v>
      </c>
      <c r="U130" s="33">
        <v>0</v>
      </c>
      <c r="V130" s="33">
        <v>0</v>
      </c>
      <c r="W130" s="33">
        <v>0</v>
      </c>
      <c r="X130" s="13">
        <f t="shared" ref="X130:X193" si="15">F130+G130+O130+Q130+R130</f>
        <v>8607</v>
      </c>
      <c r="Y130" s="13">
        <f t="shared" ref="Y130:Y193" si="16">W130</f>
        <v>0</v>
      </c>
      <c r="Z130" s="13">
        <f t="shared" ref="Z130:Z193" si="17">SUM(D130:W130)-X130-Y130</f>
        <v>0</v>
      </c>
      <c r="AA130" s="13">
        <f t="shared" si="12"/>
        <v>172864</v>
      </c>
      <c r="AB130" s="13">
        <f t="shared" si="13"/>
        <v>13102</v>
      </c>
      <c r="AC130" s="13">
        <f t="shared" si="14"/>
        <v>182002</v>
      </c>
    </row>
    <row r="131" spans="1:29" x14ac:dyDescent="0.25">
      <c r="A131" s="32" t="s">
        <v>173</v>
      </c>
      <c r="B131" s="30">
        <v>25</v>
      </c>
      <c r="C131" s="30" t="s">
        <v>145</v>
      </c>
      <c r="D131" s="33">
        <v>0</v>
      </c>
      <c r="E131" s="33">
        <v>0</v>
      </c>
      <c r="F131" s="33">
        <v>4379</v>
      </c>
      <c r="G131" s="33">
        <v>0</v>
      </c>
      <c r="H131" s="33">
        <v>0</v>
      </c>
      <c r="I131" s="33">
        <v>0</v>
      </c>
      <c r="J131" s="33">
        <v>0</v>
      </c>
      <c r="K131" s="33">
        <v>0</v>
      </c>
      <c r="L131" s="33">
        <v>0</v>
      </c>
      <c r="M131" s="33">
        <v>0</v>
      </c>
      <c r="N131" s="33">
        <v>0</v>
      </c>
      <c r="O131" s="33">
        <v>2182</v>
      </c>
      <c r="P131" s="33">
        <v>0</v>
      </c>
      <c r="Q131" s="33">
        <v>1005</v>
      </c>
      <c r="R131" s="33">
        <v>0</v>
      </c>
      <c r="S131" s="33">
        <v>0</v>
      </c>
      <c r="T131" s="33">
        <v>0</v>
      </c>
      <c r="U131" s="33">
        <v>0</v>
      </c>
      <c r="V131" s="33">
        <v>0</v>
      </c>
      <c r="W131" s="33">
        <v>0</v>
      </c>
      <c r="X131" s="13">
        <f t="shared" si="15"/>
        <v>7566</v>
      </c>
      <c r="Y131" s="13">
        <f t="shared" si="16"/>
        <v>0</v>
      </c>
      <c r="Z131" s="13">
        <f t="shared" si="17"/>
        <v>0</v>
      </c>
      <c r="AA131" s="13">
        <f t="shared" si="12"/>
        <v>180430</v>
      </c>
      <c r="AB131" s="13">
        <f t="shared" si="13"/>
        <v>13102</v>
      </c>
      <c r="AC131" s="13">
        <f t="shared" si="14"/>
        <v>182002</v>
      </c>
    </row>
    <row r="132" spans="1:29" x14ac:dyDescent="0.25">
      <c r="A132" s="32" t="s">
        <v>173</v>
      </c>
      <c r="B132" s="30">
        <v>26</v>
      </c>
      <c r="C132" s="30" t="s">
        <v>146</v>
      </c>
      <c r="D132" s="33">
        <v>0</v>
      </c>
      <c r="E132" s="33">
        <v>0</v>
      </c>
      <c r="F132" s="33">
        <v>4195</v>
      </c>
      <c r="G132" s="33">
        <v>0</v>
      </c>
      <c r="H132" s="33">
        <v>0</v>
      </c>
      <c r="I132" s="33">
        <v>0</v>
      </c>
      <c r="J132" s="33">
        <v>0</v>
      </c>
      <c r="K132" s="33">
        <v>0</v>
      </c>
      <c r="L132" s="33">
        <v>0</v>
      </c>
      <c r="M132" s="33">
        <v>0</v>
      </c>
      <c r="N132" s="33">
        <v>0</v>
      </c>
      <c r="O132" s="33">
        <v>2753</v>
      </c>
      <c r="P132" s="33">
        <v>0</v>
      </c>
      <c r="Q132" s="33">
        <v>1268</v>
      </c>
      <c r="R132" s="33">
        <v>0</v>
      </c>
      <c r="S132" s="33">
        <v>0</v>
      </c>
      <c r="T132" s="33">
        <v>0</v>
      </c>
      <c r="U132" s="33">
        <v>0</v>
      </c>
      <c r="V132" s="33">
        <v>0</v>
      </c>
      <c r="W132" s="33">
        <v>0</v>
      </c>
      <c r="X132" s="13">
        <f t="shared" si="15"/>
        <v>8216</v>
      </c>
      <c r="Y132" s="13">
        <f t="shared" si="16"/>
        <v>0</v>
      </c>
      <c r="Z132" s="13">
        <f t="shared" si="17"/>
        <v>0</v>
      </c>
      <c r="AA132" s="13">
        <f t="shared" si="12"/>
        <v>188646</v>
      </c>
      <c r="AB132" s="13">
        <f t="shared" si="13"/>
        <v>13102</v>
      </c>
      <c r="AC132" s="13">
        <f t="shared" si="14"/>
        <v>182002</v>
      </c>
    </row>
    <row r="133" spans="1:29" x14ac:dyDescent="0.25">
      <c r="A133" s="32" t="s">
        <v>173</v>
      </c>
      <c r="B133" s="30">
        <v>27</v>
      </c>
      <c r="C133" s="30" t="s">
        <v>147</v>
      </c>
      <c r="D133" s="33">
        <v>0</v>
      </c>
      <c r="E133" s="33">
        <v>0</v>
      </c>
      <c r="F133" s="33">
        <v>2949</v>
      </c>
      <c r="G133" s="33">
        <v>449</v>
      </c>
      <c r="H133" s="33">
        <v>0</v>
      </c>
      <c r="I133" s="33">
        <v>0</v>
      </c>
      <c r="J133" s="33">
        <v>0</v>
      </c>
      <c r="K133" s="33">
        <v>0</v>
      </c>
      <c r="L133" s="33">
        <v>0</v>
      </c>
      <c r="M133" s="33">
        <v>0</v>
      </c>
      <c r="N133" s="33">
        <v>0</v>
      </c>
      <c r="O133" s="33">
        <v>2502</v>
      </c>
      <c r="P133" s="33">
        <v>0</v>
      </c>
      <c r="Q133" s="33">
        <v>693</v>
      </c>
      <c r="R133" s="33">
        <v>0</v>
      </c>
      <c r="S133" s="33">
        <v>0</v>
      </c>
      <c r="T133" s="33">
        <v>0</v>
      </c>
      <c r="U133" s="33">
        <v>0</v>
      </c>
      <c r="V133" s="33">
        <v>0</v>
      </c>
      <c r="W133" s="33">
        <v>1364</v>
      </c>
      <c r="X133" s="13">
        <f t="shared" si="15"/>
        <v>6593</v>
      </c>
      <c r="Y133" s="13">
        <f t="shared" si="16"/>
        <v>1364</v>
      </c>
      <c r="Z133" s="13">
        <f t="shared" si="17"/>
        <v>0</v>
      </c>
      <c r="AA133" s="13">
        <f t="shared" si="12"/>
        <v>195239</v>
      </c>
      <c r="AB133" s="13">
        <f t="shared" si="13"/>
        <v>14466</v>
      </c>
      <c r="AC133" s="13">
        <f t="shared" si="14"/>
        <v>182002</v>
      </c>
    </row>
    <row r="134" spans="1:29" x14ac:dyDescent="0.25">
      <c r="A134" s="32" t="s">
        <v>173</v>
      </c>
      <c r="B134" s="30">
        <v>28</v>
      </c>
      <c r="C134" s="30" t="s">
        <v>148</v>
      </c>
      <c r="D134" s="33">
        <v>0</v>
      </c>
      <c r="E134" s="33">
        <v>0</v>
      </c>
      <c r="F134" s="33">
        <v>3943</v>
      </c>
      <c r="G134" s="33">
        <v>689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710</v>
      </c>
      <c r="P134" s="33">
        <v>0</v>
      </c>
      <c r="Q134" s="33">
        <v>582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880</v>
      </c>
      <c r="X134" s="13">
        <f t="shared" si="15"/>
        <v>5924</v>
      </c>
      <c r="Y134" s="13">
        <f t="shared" si="16"/>
        <v>880</v>
      </c>
      <c r="Z134" s="13">
        <f t="shared" si="17"/>
        <v>0</v>
      </c>
      <c r="AA134" s="13">
        <f t="shared" si="12"/>
        <v>201163</v>
      </c>
      <c r="AB134" s="13">
        <f t="shared" si="13"/>
        <v>15346</v>
      </c>
      <c r="AC134" s="13">
        <f t="shared" si="14"/>
        <v>182002</v>
      </c>
    </row>
    <row r="135" spans="1:29" x14ac:dyDescent="0.25">
      <c r="A135" s="32" t="s">
        <v>173</v>
      </c>
      <c r="B135" s="30">
        <v>29</v>
      </c>
      <c r="C135" s="30" t="s">
        <v>149</v>
      </c>
      <c r="D135" s="33">
        <v>0</v>
      </c>
      <c r="E135" s="33">
        <v>0</v>
      </c>
      <c r="F135" s="33">
        <v>4551</v>
      </c>
      <c r="G135" s="33">
        <v>1412</v>
      </c>
      <c r="H135" s="33">
        <v>0</v>
      </c>
      <c r="I135" s="33">
        <v>0</v>
      </c>
      <c r="J135" s="33">
        <v>0</v>
      </c>
      <c r="K135" s="33">
        <v>0</v>
      </c>
      <c r="L135" s="33">
        <v>0</v>
      </c>
      <c r="M135" s="33">
        <v>0</v>
      </c>
      <c r="N135" s="33">
        <v>0</v>
      </c>
      <c r="O135" s="33">
        <v>680</v>
      </c>
      <c r="P135" s="33">
        <v>20442</v>
      </c>
      <c r="Q135" s="33">
        <v>1351</v>
      </c>
      <c r="R135" s="33">
        <v>0</v>
      </c>
      <c r="S135" s="33">
        <v>0</v>
      </c>
      <c r="T135" s="33">
        <v>0</v>
      </c>
      <c r="U135" s="33">
        <v>0</v>
      </c>
      <c r="V135" s="33">
        <v>0</v>
      </c>
      <c r="W135" s="33">
        <v>3074</v>
      </c>
      <c r="X135" s="13">
        <f t="shared" si="15"/>
        <v>7994</v>
      </c>
      <c r="Y135" s="13">
        <f t="shared" si="16"/>
        <v>3074</v>
      </c>
      <c r="Z135" s="13">
        <f t="shared" si="17"/>
        <v>20442</v>
      </c>
      <c r="AA135" s="13">
        <f t="shared" si="12"/>
        <v>209157</v>
      </c>
      <c r="AB135" s="13">
        <f t="shared" si="13"/>
        <v>18420</v>
      </c>
      <c r="AC135" s="13">
        <f t="shared" si="14"/>
        <v>202444</v>
      </c>
    </row>
    <row r="136" spans="1:29" x14ac:dyDescent="0.25">
      <c r="A136" s="32" t="s">
        <v>173</v>
      </c>
      <c r="B136" s="30">
        <v>30</v>
      </c>
      <c r="C136" s="30" t="s">
        <v>150</v>
      </c>
      <c r="D136" s="33">
        <v>0</v>
      </c>
      <c r="E136" s="33">
        <v>0</v>
      </c>
      <c r="F136" s="33">
        <v>3725</v>
      </c>
      <c r="G136" s="33">
        <v>1417</v>
      </c>
      <c r="H136" s="33">
        <v>0</v>
      </c>
      <c r="I136" s="33">
        <v>0</v>
      </c>
      <c r="J136" s="33">
        <v>0</v>
      </c>
      <c r="K136" s="33">
        <v>0</v>
      </c>
      <c r="L136" s="33">
        <v>0</v>
      </c>
      <c r="M136" s="33">
        <v>0</v>
      </c>
      <c r="N136" s="33">
        <v>0</v>
      </c>
      <c r="O136" s="33">
        <v>683</v>
      </c>
      <c r="P136" s="33">
        <v>23558</v>
      </c>
      <c r="Q136" s="33">
        <v>1224</v>
      </c>
      <c r="R136" s="33">
        <v>0</v>
      </c>
      <c r="S136" s="33">
        <v>0</v>
      </c>
      <c r="T136" s="33">
        <v>0</v>
      </c>
      <c r="U136" s="33">
        <v>0</v>
      </c>
      <c r="V136" s="33">
        <v>0</v>
      </c>
      <c r="W136" s="33">
        <v>452</v>
      </c>
      <c r="X136" s="13">
        <f t="shared" si="15"/>
        <v>7049</v>
      </c>
      <c r="Y136" s="13">
        <f t="shared" si="16"/>
        <v>452</v>
      </c>
      <c r="Z136" s="13">
        <f t="shared" si="17"/>
        <v>23558</v>
      </c>
      <c r="AA136" s="13">
        <f t="shared" si="12"/>
        <v>216206</v>
      </c>
      <c r="AB136" s="13">
        <f t="shared" si="13"/>
        <v>18872</v>
      </c>
      <c r="AC136" s="13">
        <f t="shared" si="14"/>
        <v>226002</v>
      </c>
    </row>
    <row r="137" spans="1:29" x14ac:dyDescent="0.25">
      <c r="A137" s="32" t="s">
        <v>173</v>
      </c>
      <c r="B137" s="30">
        <v>31</v>
      </c>
      <c r="C137" s="30" t="s">
        <v>151</v>
      </c>
      <c r="D137" s="33">
        <v>0</v>
      </c>
      <c r="E137" s="33">
        <v>0</v>
      </c>
      <c r="F137" s="33">
        <v>4837</v>
      </c>
      <c r="G137" s="33">
        <v>1185</v>
      </c>
      <c r="H137" s="33">
        <v>0</v>
      </c>
      <c r="I137" s="33">
        <v>0</v>
      </c>
      <c r="J137" s="33">
        <v>0</v>
      </c>
      <c r="K137" s="33">
        <v>0</v>
      </c>
      <c r="L137" s="33">
        <v>0</v>
      </c>
      <c r="M137" s="33">
        <v>0</v>
      </c>
      <c r="N137" s="33">
        <v>0</v>
      </c>
      <c r="O137" s="33">
        <v>11</v>
      </c>
      <c r="P137" s="33">
        <v>29287</v>
      </c>
      <c r="Q137" s="33">
        <v>1396</v>
      </c>
      <c r="R137" s="33">
        <v>0</v>
      </c>
      <c r="S137" s="33">
        <v>0</v>
      </c>
      <c r="T137" s="33">
        <v>0</v>
      </c>
      <c r="U137" s="33">
        <v>0</v>
      </c>
      <c r="V137" s="33">
        <v>0</v>
      </c>
      <c r="W137" s="33">
        <v>489</v>
      </c>
      <c r="X137" s="13">
        <f t="shared" si="15"/>
        <v>7429</v>
      </c>
      <c r="Y137" s="13">
        <f t="shared" si="16"/>
        <v>489</v>
      </c>
      <c r="Z137" s="13">
        <f t="shared" si="17"/>
        <v>29287</v>
      </c>
      <c r="AA137" s="13">
        <f t="shared" si="12"/>
        <v>223635</v>
      </c>
      <c r="AB137" s="13">
        <f t="shared" si="13"/>
        <v>19361</v>
      </c>
      <c r="AC137" s="13">
        <f t="shared" si="14"/>
        <v>255289</v>
      </c>
    </row>
    <row r="138" spans="1:29" x14ac:dyDescent="0.25">
      <c r="A138" s="32" t="s">
        <v>173</v>
      </c>
      <c r="B138" s="30">
        <v>32</v>
      </c>
      <c r="C138" s="30" t="s">
        <v>152</v>
      </c>
      <c r="D138" s="33">
        <v>0</v>
      </c>
      <c r="E138" s="33">
        <v>0</v>
      </c>
      <c r="F138" s="33">
        <v>3452</v>
      </c>
      <c r="G138" s="33">
        <v>944</v>
      </c>
      <c r="H138" s="33">
        <v>0</v>
      </c>
      <c r="I138" s="33">
        <v>0</v>
      </c>
      <c r="J138" s="33">
        <v>0</v>
      </c>
      <c r="K138" s="33">
        <v>25000</v>
      </c>
      <c r="L138" s="33">
        <v>0</v>
      </c>
      <c r="M138" s="33">
        <v>0</v>
      </c>
      <c r="N138" s="33">
        <v>0</v>
      </c>
      <c r="O138" s="33">
        <v>447</v>
      </c>
      <c r="P138" s="33">
        <v>4740</v>
      </c>
      <c r="Q138" s="33">
        <v>2014</v>
      </c>
      <c r="R138" s="33">
        <v>4702</v>
      </c>
      <c r="S138" s="33">
        <v>0</v>
      </c>
      <c r="T138" s="33">
        <v>0</v>
      </c>
      <c r="U138" s="33">
        <v>0</v>
      </c>
      <c r="V138" s="33">
        <v>0</v>
      </c>
      <c r="W138" s="33">
        <v>2328</v>
      </c>
      <c r="X138" s="13">
        <f t="shared" si="15"/>
        <v>11559</v>
      </c>
      <c r="Y138" s="13">
        <f t="shared" si="16"/>
        <v>2328</v>
      </c>
      <c r="Z138" s="13">
        <f t="shared" si="17"/>
        <v>29740</v>
      </c>
      <c r="AA138" s="13">
        <f t="shared" si="12"/>
        <v>235194</v>
      </c>
      <c r="AB138" s="13">
        <f t="shared" si="13"/>
        <v>21689</v>
      </c>
      <c r="AC138" s="13">
        <f t="shared" si="14"/>
        <v>285029</v>
      </c>
    </row>
    <row r="139" spans="1:29" x14ac:dyDescent="0.25">
      <c r="A139" s="32" t="s">
        <v>173</v>
      </c>
      <c r="B139" s="30">
        <v>33</v>
      </c>
      <c r="C139" s="30" t="s">
        <v>153</v>
      </c>
      <c r="D139" s="33">
        <v>0</v>
      </c>
      <c r="E139" s="33">
        <v>0</v>
      </c>
      <c r="F139" s="33">
        <v>3428</v>
      </c>
      <c r="G139" s="33">
        <v>671</v>
      </c>
      <c r="H139" s="33">
        <v>0</v>
      </c>
      <c r="I139" s="33">
        <v>0</v>
      </c>
      <c r="J139" s="33">
        <v>0</v>
      </c>
      <c r="K139" s="33">
        <v>0</v>
      </c>
      <c r="L139" s="33">
        <v>0</v>
      </c>
      <c r="M139" s="33">
        <v>0</v>
      </c>
      <c r="N139" s="33">
        <v>0</v>
      </c>
      <c r="O139" s="33">
        <v>55</v>
      </c>
      <c r="P139" s="33">
        <v>7031</v>
      </c>
      <c r="Q139" s="33">
        <v>2671</v>
      </c>
      <c r="R139" s="33">
        <v>5943</v>
      </c>
      <c r="S139" s="33">
        <v>0</v>
      </c>
      <c r="T139" s="33">
        <v>0</v>
      </c>
      <c r="U139" s="33">
        <v>0</v>
      </c>
      <c r="V139" s="33">
        <v>0</v>
      </c>
      <c r="W139" s="33">
        <v>0</v>
      </c>
      <c r="X139" s="13">
        <f t="shared" si="15"/>
        <v>12768</v>
      </c>
      <c r="Y139" s="13">
        <f t="shared" si="16"/>
        <v>0</v>
      </c>
      <c r="Z139" s="13">
        <f t="shared" si="17"/>
        <v>7031</v>
      </c>
      <c r="AA139" s="13">
        <f t="shared" si="12"/>
        <v>247962</v>
      </c>
      <c r="AB139" s="13">
        <f t="shared" si="13"/>
        <v>21689</v>
      </c>
      <c r="AC139" s="13">
        <f t="shared" si="14"/>
        <v>292060</v>
      </c>
    </row>
    <row r="140" spans="1:29" x14ac:dyDescent="0.25">
      <c r="A140" s="32" t="s">
        <v>173</v>
      </c>
      <c r="B140" s="30">
        <v>34</v>
      </c>
      <c r="C140" s="30" t="s">
        <v>154</v>
      </c>
      <c r="D140" s="33">
        <v>0</v>
      </c>
      <c r="E140" s="33">
        <v>0</v>
      </c>
      <c r="F140" s="33">
        <v>3690</v>
      </c>
      <c r="G140" s="33">
        <v>1269</v>
      </c>
      <c r="H140" s="33">
        <v>0</v>
      </c>
      <c r="I140" s="33">
        <v>0</v>
      </c>
      <c r="J140" s="33">
        <v>0</v>
      </c>
      <c r="K140" s="33">
        <v>0</v>
      </c>
      <c r="L140" s="33">
        <v>0</v>
      </c>
      <c r="M140" s="33">
        <v>0</v>
      </c>
      <c r="N140" s="33">
        <v>0</v>
      </c>
      <c r="O140" s="33">
        <v>0</v>
      </c>
      <c r="P140" s="33">
        <v>4251</v>
      </c>
      <c r="Q140" s="33">
        <v>1794</v>
      </c>
      <c r="R140" s="33">
        <v>3665</v>
      </c>
      <c r="S140" s="33">
        <v>0</v>
      </c>
      <c r="T140" s="33">
        <v>0</v>
      </c>
      <c r="U140" s="33">
        <v>0</v>
      </c>
      <c r="V140" s="33">
        <v>0</v>
      </c>
      <c r="W140" s="33">
        <v>1026</v>
      </c>
      <c r="X140" s="13">
        <f t="shared" si="15"/>
        <v>10418</v>
      </c>
      <c r="Y140" s="13">
        <f t="shared" si="16"/>
        <v>1026</v>
      </c>
      <c r="Z140" s="13">
        <f t="shared" si="17"/>
        <v>4251</v>
      </c>
      <c r="AA140" s="13">
        <f t="shared" si="12"/>
        <v>258380</v>
      </c>
      <c r="AB140" s="13">
        <f t="shared" si="13"/>
        <v>22715</v>
      </c>
      <c r="AC140" s="13">
        <f t="shared" si="14"/>
        <v>296311</v>
      </c>
    </row>
    <row r="141" spans="1:29" x14ac:dyDescent="0.25">
      <c r="A141" s="32" t="s">
        <v>173</v>
      </c>
      <c r="B141" s="30">
        <v>35</v>
      </c>
      <c r="C141" s="30" t="s">
        <v>155</v>
      </c>
      <c r="D141" s="33">
        <v>0</v>
      </c>
      <c r="E141" s="33">
        <v>0</v>
      </c>
      <c r="F141" s="33">
        <v>1860</v>
      </c>
      <c r="G141" s="33">
        <v>432</v>
      </c>
      <c r="H141" s="33">
        <v>0</v>
      </c>
      <c r="I141" s="33">
        <v>0</v>
      </c>
      <c r="J141" s="33">
        <v>0</v>
      </c>
      <c r="K141" s="33">
        <v>0</v>
      </c>
      <c r="L141" s="33">
        <v>27595</v>
      </c>
      <c r="M141" s="33">
        <v>0</v>
      </c>
      <c r="N141" s="33">
        <v>0</v>
      </c>
      <c r="O141" s="33">
        <v>1662</v>
      </c>
      <c r="P141" s="33">
        <v>0</v>
      </c>
      <c r="Q141" s="33">
        <v>629</v>
      </c>
      <c r="R141" s="33">
        <v>1718</v>
      </c>
      <c r="S141" s="33">
        <v>0</v>
      </c>
      <c r="T141" s="33">
        <v>0</v>
      </c>
      <c r="U141" s="33">
        <v>0</v>
      </c>
      <c r="V141" s="33">
        <v>0</v>
      </c>
      <c r="W141" s="33">
        <v>1547</v>
      </c>
      <c r="X141" s="13">
        <f t="shared" si="15"/>
        <v>6301</v>
      </c>
      <c r="Y141" s="13">
        <f t="shared" si="16"/>
        <v>1547</v>
      </c>
      <c r="Z141" s="13">
        <f t="shared" si="17"/>
        <v>27595</v>
      </c>
      <c r="AA141" s="13">
        <f t="shared" si="12"/>
        <v>264681</v>
      </c>
      <c r="AB141" s="13">
        <f t="shared" si="13"/>
        <v>24262</v>
      </c>
      <c r="AC141" s="13">
        <f t="shared" si="14"/>
        <v>323906</v>
      </c>
    </row>
    <row r="142" spans="1:29" x14ac:dyDescent="0.25">
      <c r="A142" s="32" t="s">
        <v>173</v>
      </c>
      <c r="B142" s="30">
        <v>36</v>
      </c>
      <c r="C142" s="30" t="s">
        <v>156</v>
      </c>
      <c r="D142" s="33">
        <v>0</v>
      </c>
      <c r="E142" s="33">
        <v>0</v>
      </c>
      <c r="F142" s="33">
        <v>1993</v>
      </c>
      <c r="G142" s="33">
        <v>1047</v>
      </c>
      <c r="H142" s="33">
        <v>0</v>
      </c>
      <c r="I142" s="33">
        <v>0</v>
      </c>
      <c r="J142" s="33">
        <v>0</v>
      </c>
      <c r="K142" s="33">
        <v>0</v>
      </c>
      <c r="L142" s="33">
        <v>12405</v>
      </c>
      <c r="M142" s="33">
        <v>0</v>
      </c>
      <c r="N142" s="33">
        <v>0</v>
      </c>
      <c r="O142" s="33">
        <v>0</v>
      </c>
      <c r="P142" s="33">
        <v>17070</v>
      </c>
      <c r="Q142" s="33">
        <v>713</v>
      </c>
      <c r="R142" s="33">
        <v>4281</v>
      </c>
      <c r="S142" s="33">
        <v>0</v>
      </c>
      <c r="T142" s="33">
        <v>0</v>
      </c>
      <c r="U142" s="33">
        <v>0</v>
      </c>
      <c r="V142" s="33">
        <v>0</v>
      </c>
      <c r="W142" s="33">
        <v>3065</v>
      </c>
      <c r="X142" s="13">
        <f t="shared" si="15"/>
        <v>8034</v>
      </c>
      <c r="Y142" s="13">
        <f t="shared" si="16"/>
        <v>3065</v>
      </c>
      <c r="Z142" s="13">
        <f t="shared" si="17"/>
        <v>29475</v>
      </c>
      <c r="AA142" s="13">
        <f t="shared" si="12"/>
        <v>272715</v>
      </c>
      <c r="AB142" s="13">
        <f t="shared" si="13"/>
        <v>27327</v>
      </c>
      <c r="AC142" s="13">
        <f t="shared" si="14"/>
        <v>353381</v>
      </c>
    </row>
    <row r="143" spans="1:29" x14ac:dyDescent="0.25">
      <c r="A143" s="32" t="s">
        <v>173</v>
      </c>
      <c r="B143" s="30">
        <v>37</v>
      </c>
      <c r="C143" s="30" t="s">
        <v>157</v>
      </c>
      <c r="D143" s="33">
        <v>0</v>
      </c>
      <c r="E143" s="33">
        <v>0</v>
      </c>
      <c r="F143" s="33">
        <v>3663</v>
      </c>
      <c r="G143" s="33">
        <v>1827</v>
      </c>
      <c r="H143" s="33">
        <v>0</v>
      </c>
      <c r="I143" s="33">
        <v>0</v>
      </c>
      <c r="J143" s="33">
        <v>0</v>
      </c>
      <c r="K143" s="33">
        <v>0</v>
      </c>
      <c r="L143" s="33">
        <v>0</v>
      </c>
      <c r="M143" s="33">
        <v>0</v>
      </c>
      <c r="N143" s="33">
        <v>0</v>
      </c>
      <c r="O143" s="33">
        <v>304</v>
      </c>
      <c r="P143" s="33">
        <v>36121</v>
      </c>
      <c r="Q143" s="33">
        <v>2744</v>
      </c>
      <c r="R143" s="33">
        <v>5673</v>
      </c>
      <c r="S143" s="33">
        <v>0</v>
      </c>
      <c r="T143" s="33">
        <v>0</v>
      </c>
      <c r="U143" s="33">
        <v>0</v>
      </c>
      <c r="V143" s="33">
        <v>0</v>
      </c>
      <c r="W143" s="33">
        <v>1536</v>
      </c>
      <c r="X143" s="13">
        <f t="shared" si="15"/>
        <v>14211</v>
      </c>
      <c r="Y143" s="13">
        <f t="shared" si="16"/>
        <v>1536</v>
      </c>
      <c r="Z143" s="13">
        <f t="shared" si="17"/>
        <v>36121</v>
      </c>
      <c r="AA143" s="13">
        <f t="shared" si="12"/>
        <v>286926</v>
      </c>
      <c r="AB143" s="13">
        <f t="shared" si="13"/>
        <v>28863</v>
      </c>
      <c r="AC143" s="13">
        <f t="shared" si="14"/>
        <v>389502</v>
      </c>
    </row>
    <row r="144" spans="1:29" x14ac:dyDescent="0.25">
      <c r="A144" s="32" t="s">
        <v>173</v>
      </c>
      <c r="B144" s="30">
        <v>38</v>
      </c>
      <c r="C144" s="30" t="s">
        <v>158</v>
      </c>
      <c r="D144" s="33">
        <v>0</v>
      </c>
      <c r="E144" s="33">
        <v>0</v>
      </c>
      <c r="F144" s="33">
        <v>4983</v>
      </c>
      <c r="G144" s="33">
        <v>2395</v>
      </c>
      <c r="H144" s="33">
        <v>0</v>
      </c>
      <c r="I144" s="33">
        <v>0</v>
      </c>
      <c r="J144" s="33">
        <v>0</v>
      </c>
      <c r="K144" s="33">
        <v>0</v>
      </c>
      <c r="L144" s="33">
        <v>0</v>
      </c>
      <c r="M144" s="33">
        <v>0</v>
      </c>
      <c r="N144" s="33">
        <v>0</v>
      </c>
      <c r="O144" s="33">
        <v>541</v>
      </c>
      <c r="P144" s="33">
        <v>18415</v>
      </c>
      <c r="Q144" s="33">
        <v>388</v>
      </c>
      <c r="R144" s="33">
        <v>4822</v>
      </c>
      <c r="S144" s="33">
        <v>0</v>
      </c>
      <c r="T144" s="33">
        <v>0</v>
      </c>
      <c r="U144" s="33">
        <v>0</v>
      </c>
      <c r="V144" s="33">
        <v>0</v>
      </c>
      <c r="W144" s="33">
        <v>2606</v>
      </c>
      <c r="X144" s="13">
        <f t="shared" si="15"/>
        <v>13129</v>
      </c>
      <c r="Y144" s="13">
        <f t="shared" si="16"/>
        <v>2606</v>
      </c>
      <c r="Z144" s="13">
        <f t="shared" si="17"/>
        <v>18415</v>
      </c>
      <c r="AA144" s="13">
        <f t="shared" si="12"/>
        <v>300055</v>
      </c>
      <c r="AB144" s="13">
        <f t="shared" si="13"/>
        <v>31469</v>
      </c>
      <c r="AC144" s="13">
        <f t="shared" si="14"/>
        <v>407917</v>
      </c>
    </row>
    <row r="145" spans="1:29" x14ac:dyDescent="0.25">
      <c r="A145" s="32" t="s">
        <v>173</v>
      </c>
      <c r="B145" s="30">
        <v>39</v>
      </c>
      <c r="C145" s="30" t="s">
        <v>159</v>
      </c>
      <c r="D145" s="33">
        <v>0</v>
      </c>
      <c r="E145" s="33">
        <v>0</v>
      </c>
      <c r="F145" s="33">
        <v>5502</v>
      </c>
      <c r="G145" s="33">
        <v>1218</v>
      </c>
      <c r="H145" s="33">
        <v>0</v>
      </c>
      <c r="I145" s="33">
        <v>0</v>
      </c>
      <c r="J145" s="33">
        <v>0</v>
      </c>
      <c r="K145" s="33">
        <v>0</v>
      </c>
      <c r="L145" s="33">
        <v>0</v>
      </c>
      <c r="M145" s="33">
        <v>0</v>
      </c>
      <c r="N145" s="33">
        <v>0</v>
      </c>
      <c r="O145" s="33">
        <v>3249</v>
      </c>
      <c r="P145" s="33">
        <v>50100</v>
      </c>
      <c r="Q145" s="33">
        <v>886</v>
      </c>
      <c r="R145" s="33">
        <v>4488</v>
      </c>
      <c r="S145" s="33">
        <v>0</v>
      </c>
      <c r="T145" s="33">
        <v>0</v>
      </c>
      <c r="U145" s="33">
        <v>0</v>
      </c>
      <c r="V145" s="33">
        <v>0</v>
      </c>
      <c r="W145" s="33">
        <v>4576</v>
      </c>
      <c r="X145" s="13">
        <f t="shared" si="15"/>
        <v>15343</v>
      </c>
      <c r="Y145" s="13">
        <f t="shared" si="16"/>
        <v>4576</v>
      </c>
      <c r="Z145" s="13">
        <f t="shared" si="17"/>
        <v>50100</v>
      </c>
      <c r="AA145" s="13">
        <f t="shared" si="12"/>
        <v>315398</v>
      </c>
      <c r="AB145" s="13">
        <f t="shared" si="13"/>
        <v>36045</v>
      </c>
      <c r="AC145" s="13">
        <f t="shared" si="14"/>
        <v>458017</v>
      </c>
    </row>
    <row r="146" spans="1:29" x14ac:dyDescent="0.25">
      <c r="A146" s="32" t="s">
        <v>173</v>
      </c>
      <c r="B146" s="30">
        <v>40</v>
      </c>
      <c r="C146" s="30" t="s">
        <v>160</v>
      </c>
      <c r="D146" s="33">
        <v>0</v>
      </c>
      <c r="E146" s="33">
        <v>0</v>
      </c>
      <c r="F146" s="33">
        <v>5021</v>
      </c>
      <c r="G146" s="33">
        <v>309</v>
      </c>
      <c r="H146" s="33">
        <v>0</v>
      </c>
      <c r="I146" s="33">
        <v>0</v>
      </c>
      <c r="J146" s="33">
        <v>0</v>
      </c>
      <c r="K146" s="33">
        <v>0</v>
      </c>
      <c r="L146" s="33">
        <v>41651</v>
      </c>
      <c r="M146" s="33">
        <v>0</v>
      </c>
      <c r="N146" s="33">
        <v>0</v>
      </c>
      <c r="O146" s="33">
        <v>648</v>
      </c>
      <c r="P146" s="33">
        <v>0</v>
      </c>
      <c r="Q146" s="33">
        <v>416</v>
      </c>
      <c r="R146" s="33">
        <v>3467</v>
      </c>
      <c r="S146" s="33">
        <v>0</v>
      </c>
      <c r="T146" s="33">
        <v>0</v>
      </c>
      <c r="U146" s="33">
        <v>0</v>
      </c>
      <c r="V146" s="33">
        <v>0</v>
      </c>
      <c r="W146" s="33">
        <v>2091</v>
      </c>
      <c r="X146" s="13">
        <f t="shared" si="15"/>
        <v>9861</v>
      </c>
      <c r="Y146" s="13">
        <f t="shared" si="16"/>
        <v>2091</v>
      </c>
      <c r="Z146" s="13">
        <f t="shared" si="17"/>
        <v>41651</v>
      </c>
      <c r="AA146" s="13">
        <f t="shared" si="12"/>
        <v>325259</v>
      </c>
      <c r="AB146" s="13">
        <f t="shared" si="13"/>
        <v>38136</v>
      </c>
      <c r="AC146" s="13">
        <f t="shared" si="14"/>
        <v>499668</v>
      </c>
    </row>
    <row r="147" spans="1:29" x14ac:dyDescent="0.25">
      <c r="A147" s="32" t="s">
        <v>173</v>
      </c>
      <c r="B147" s="30">
        <v>41</v>
      </c>
      <c r="C147" s="30" t="s">
        <v>161</v>
      </c>
      <c r="D147" s="33">
        <v>0</v>
      </c>
      <c r="E147" s="33">
        <v>0</v>
      </c>
      <c r="F147" s="33">
        <v>4508</v>
      </c>
      <c r="G147" s="33">
        <v>1041</v>
      </c>
      <c r="H147" s="33">
        <v>0</v>
      </c>
      <c r="I147" s="33">
        <v>0</v>
      </c>
      <c r="J147" s="33">
        <v>0</v>
      </c>
      <c r="K147" s="33">
        <v>0</v>
      </c>
      <c r="L147" s="33">
        <v>0</v>
      </c>
      <c r="M147" s="33">
        <v>0</v>
      </c>
      <c r="N147" s="33">
        <v>0</v>
      </c>
      <c r="O147" s="33">
        <v>1005</v>
      </c>
      <c r="P147" s="33">
        <v>0</v>
      </c>
      <c r="Q147" s="33">
        <v>867</v>
      </c>
      <c r="R147" s="33">
        <v>4433</v>
      </c>
      <c r="S147" s="33">
        <v>0</v>
      </c>
      <c r="T147" s="33">
        <v>0</v>
      </c>
      <c r="U147" s="33">
        <v>0</v>
      </c>
      <c r="V147" s="33">
        <v>0</v>
      </c>
      <c r="W147" s="33">
        <v>2709</v>
      </c>
      <c r="X147" s="13">
        <f t="shared" si="15"/>
        <v>11854</v>
      </c>
      <c r="Y147" s="13">
        <f t="shared" si="16"/>
        <v>2709</v>
      </c>
      <c r="Z147" s="13">
        <f t="shared" si="17"/>
        <v>0</v>
      </c>
      <c r="AA147" s="13">
        <f t="shared" si="12"/>
        <v>337113</v>
      </c>
      <c r="AB147" s="13">
        <f t="shared" si="13"/>
        <v>40845</v>
      </c>
      <c r="AC147" s="13">
        <f t="shared" si="14"/>
        <v>499668</v>
      </c>
    </row>
    <row r="148" spans="1:29" x14ac:dyDescent="0.25">
      <c r="A148" s="32" t="s">
        <v>173</v>
      </c>
      <c r="B148" s="30">
        <v>42</v>
      </c>
      <c r="C148" s="30" t="s">
        <v>162</v>
      </c>
      <c r="D148" s="33">
        <v>0</v>
      </c>
      <c r="E148" s="33">
        <v>0</v>
      </c>
      <c r="F148" s="33">
        <v>4837</v>
      </c>
      <c r="G148" s="33">
        <v>1930</v>
      </c>
      <c r="H148" s="33">
        <v>0</v>
      </c>
      <c r="I148" s="33">
        <v>0</v>
      </c>
      <c r="J148" s="33">
        <v>0</v>
      </c>
      <c r="K148" s="33">
        <v>0</v>
      </c>
      <c r="L148" s="33">
        <v>0</v>
      </c>
      <c r="M148" s="33">
        <v>0</v>
      </c>
      <c r="N148" s="33">
        <v>0</v>
      </c>
      <c r="O148" s="33">
        <v>1018</v>
      </c>
      <c r="P148" s="33">
        <v>27460</v>
      </c>
      <c r="Q148" s="33">
        <v>1080</v>
      </c>
      <c r="R148" s="33">
        <v>4394</v>
      </c>
      <c r="S148" s="33">
        <v>0</v>
      </c>
      <c r="T148" s="33">
        <v>0</v>
      </c>
      <c r="U148" s="33">
        <v>0</v>
      </c>
      <c r="V148" s="33">
        <v>0</v>
      </c>
      <c r="W148" s="33">
        <v>4287</v>
      </c>
      <c r="X148" s="13">
        <f t="shared" si="15"/>
        <v>13259</v>
      </c>
      <c r="Y148" s="13">
        <f t="shared" si="16"/>
        <v>4287</v>
      </c>
      <c r="Z148" s="13">
        <f t="shared" si="17"/>
        <v>27460</v>
      </c>
      <c r="AA148" s="13">
        <f t="shared" si="12"/>
        <v>350372</v>
      </c>
      <c r="AB148" s="13">
        <f t="shared" si="13"/>
        <v>45132</v>
      </c>
      <c r="AC148" s="13">
        <f t="shared" si="14"/>
        <v>527128</v>
      </c>
    </row>
    <row r="149" spans="1:29" x14ac:dyDescent="0.25">
      <c r="A149" s="32" t="s">
        <v>173</v>
      </c>
      <c r="B149" s="30">
        <v>43</v>
      </c>
      <c r="C149" s="30" t="s">
        <v>163</v>
      </c>
      <c r="D149" s="33">
        <v>0</v>
      </c>
      <c r="E149" s="33">
        <v>0</v>
      </c>
      <c r="F149" s="33">
        <v>4694</v>
      </c>
      <c r="G149" s="33">
        <v>1630</v>
      </c>
      <c r="H149" s="33">
        <v>0</v>
      </c>
      <c r="I149" s="33">
        <v>0</v>
      </c>
      <c r="J149" s="33">
        <v>0</v>
      </c>
      <c r="K149" s="33">
        <v>0</v>
      </c>
      <c r="L149" s="33">
        <v>0</v>
      </c>
      <c r="M149" s="33">
        <v>1761</v>
      </c>
      <c r="N149" s="33">
        <v>24991</v>
      </c>
      <c r="O149" s="33">
        <v>3945</v>
      </c>
      <c r="P149" s="33">
        <v>17540</v>
      </c>
      <c r="Q149" s="33">
        <v>1597</v>
      </c>
      <c r="R149" s="33">
        <v>4439</v>
      </c>
      <c r="S149" s="33">
        <v>0</v>
      </c>
      <c r="T149" s="33">
        <v>0</v>
      </c>
      <c r="U149" s="33">
        <v>0</v>
      </c>
      <c r="V149" s="33">
        <v>0</v>
      </c>
      <c r="W149" s="33">
        <v>6849</v>
      </c>
      <c r="X149" s="13">
        <f t="shared" si="15"/>
        <v>16305</v>
      </c>
      <c r="Y149" s="13">
        <f t="shared" si="16"/>
        <v>6849</v>
      </c>
      <c r="Z149" s="13">
        <f t="shared" si="17"/>
        <v>44292</v>
      </c>
      <c r="AA149" s="13">
        <f t="shared" si="12"/>
        <v>366677</v>
      </c>
      <c r="AB149" s="13">
        <f t="shared" si="13"/>
        <v>51981</v>
      </c>
      <c r="AC149" s="13">
        <f t="shared" si="14"/>
        <v>571420</v>
      </c>
    </row>
    <row r="150" spans="1:29" x14ac:dyDescent="0.25">
      <c r="A150" s="32" t="s">
        <v>173</v>
      </c>
      <c r="B150" s="30">
        <v>44</v>
      </c>
      <c r="C150" s="30" t="s">
        <v>164</v>
      </c>
      <c r="D150" s="33">
        <v>0</v>
      </c>
      <c r="E150" s="33">
        <v>0</v>
      </c>
      <c r="F150" s="33">
        <v>4203</v>
      </c>
      <c r="G150" s="33">
        <v>740</v>
      </c>
      <c r="H150" s="33">
        <v>0</v>
      </c>
      <c r="I150" s="33">
        <v>0</v>
      </c>
      <c r="J150" s="33">
        <v>17000</v>
      </c>
      <c r="K150" s="33">
        <v>20000</v>
      </c>
      <c r="L150" s="33">
        <v>12434</v>
      </c>
      <c r="M150" s="33">
        <v>4170</v>
      </c>
      <c r="N150" s="33">
        <v>26509</v>
      </c>
      <c r="O150" s="33">
        <v>2185</v>
      </c>
      <c r="P150" s="33">
        <v>5034</v>
      </c>
      <c r="Q150" s="33">
        <v>1142</v>
      </c>
      <c r="R150" s="33">
        <v>3719</v>
      </c>
      <c r="S150" s="33">
        <v>0</v>
      </c>
      <c r="T150" s="33">
        <v>0</v>
      </c>
      <c r="U150" s="33">
        <v>0</v>
      </c>
      <c r="V150" s="33">
        <v>0</v>
      </c>
      <c r="W150" s="33">
        <v>5073</v>
      </c>
      <c r="X150" s="13">
        <f t="shared" si="15"/>
        <v>11989</v>
      </c>
      <c r="Y150" s="13">
        <f t="shared" si="16"/>
        <v>5073</v>
      </c>
      <c r="Z150" s="13">
        <f t="shared" si="17"/>
        <v>85147</v>
      </c>
      <c r="AA150" s="13">
        <f t="shared" si="12"/>
        <v>378666</v>
      </c>
      <c r="AB150" s="13">
        <f t="shared" si="13"/>
        <v>57054</v>
      </c>
      <c r="AC150" s="13">
        <f t="shared" si="14"/>
        <v>656567</v>
      </c>
    </row>
    <row r="151" spans="1:29" x14ac:dyDescent="0.25">
      <c r="A151" s="32" t="s">
        <v>173</v>
      </c>
      <c r="B151" s="30">
        <v>45</v>
      </c>
      <c r="C151" s="30" t="s">
        <v>165</v>
      </c>
      <c r="D151" s="33">
        <v>0</v>
      </c>
      <c r="E151" s="33">
        <v>0</v>
      </c>
      <c r="F151" s="33">
        <v>2821</v>
      </c>
      <c r="G151" s="33">
        <v>683</v>
      </c>
      <c r="H151" s="33">
        <v>0</v>
      </c>
      <c r="I151" s="33">
        <v>0</v>
      </c>
      <c r="J151" s="33">
        <v>4811</v>
      </c>
      <c r="K151" s="33">
        <v>1811</v>
      </c>
      <c r="L151" s="33">
        <v>31566</v>
      </c>
      <c r="M151" s="33">
        <v>4974</v>
      </c>
      <c r="N151" s="33">
        <v>0</v>
      </c>
      <c r="O151" s="33">
        <v>1359</v>
      </c>
      <c r="P151" s="33">
        <v>35493</v>
      </c>
      <c r="Q151" s="33">
        <v>618</v>
      </c>
      <c r="R151" s="33">
        <v>5975</v>
      </c>
      <c r="S151" s="33">
        <v>0</v>
      </c>
      <c r="T151" s="33">
        <v>0</v>
      </c>
      <c r="U151" s="33">
        <v>0</v>
      </c>
      <c r="V151" s="33">
        <v>0</v>
      </c>
      <c r="W151" s="33">
        <v>1712</v>
      </c>
      <c r="X151" s="13">
        <f t="shared" si="15"/>
        <v>11456</v>
      </c>
      <c r="Y151" s="13">
        <f t="shared" si="16"/>
        <v>1712</v>
      </c>
      <c r="Z151" s="13">
        <f t="shared" si="17"/>
        <v>78655</v>
      </c>
      <c r="AA151" s="13">
        <f t="shared" si="12"/>
        <v>390122</v>
      </c>
      <c r="AB151" s="13">
        <f t="shared" si="13"/>
        <v>58766</v>
      </c>
      <c r="AC151" s="13">
        <f t="shared" si="14"/>
        <v>735222</v>
      </c>
    </row>
    <row r="152" spans="1:29" x14ac:dyDescent="0.25">
      <c r="A152" s="32" t="s">
        <v>173</v>
      </c>
      <c r="B152" s="30">
        <v>46</v>
      </c>
      <c r="C152" s="30" t="s">
        <v>166</v>
      </c>
      <c r="D152" s="33">
        <v>0</v>
      </c>
      <c r="E152" s="33">
        <v>0</v>
      </c>
      <c r="F152" s="33">
        <v>3375</v>
      </c>
      <c r="G152" s="33">
        <v>1747</v>
      </c>
      <c r="H152" s="33">
        <v>0</v>
      </c>
      <c r="I152" s="33">
        <v>0</v>
      </c>
      <c r="J152" s="33">
        <v>0</v>
      </c>
      <c r="K152" s="33">
        <v>0</v>
      </c>
      <c r="L152" s="33">
        <v>47500</v>
      </c>
      <c r="M152" s="33">
        <v>6367</v>
      </c>
      <c r="N152" s="33">
        <v>0</v>
      </c>
      <c r="O152" s="33">
        <v>1552</v>
      </c>
      <c r="P152" s="33">
        <v>0</v>
      </c>
      <c r="Q152" s="33">
        <v>1020</v>
      </c>
      <c r="R152" s="33">
        <v>5495</v>
      </c>
      <c r="S152" s="33">
        <v>0</v>
      </c>
      <c r="T152" s="33">
        <v>0</v>
      </c>
      <c r="U152" s="33">
        <v>0</v>
      </c>
      <c r="V152" s="33">
        <v>0</v>
      </c>
      <c r="W152" s="33">
        <v>7767</v>
      </c>
      <c r="X152" s="13">
        <f t="shared" si="15"/>
        <v>13189</v>
      </c>
      <c r="Y152" s="13">
        <f t="shared" si="16"/>
        <v>7767</v>
      </c>
      <c r="Z152" s="13">
        <f t="shared" si="17"/>
        <v>53867</v>
      </c>
      <c r="AA152" s="13">
        <f t="shared" si="12"/>
        <v>403311</v>
      </c>
      <c r="AB152" s="13">
        <f t="shared" si="13"/>
        <v>66533</v>
      </c>
      <c r="AC152" s="13">
        <f t="shared" si="14"/>
        <v>789089</v>
      </c>
    </row>
    <row r="153" spans="1:29" x14ac:dyDescent="0.25">
      <c r="A153" s="32" t="s">
        <v>173</v>
      </c>
      <c r="B153" s="30">
        <v>47</v>
      </c>
      <c r="C153" s="30" t="s">
        <v>167</v>
      </c>
      <c r="D153" s="33">
        <v>0</v>
      </c>
      <c r="E153" s="33">
        <v>0</v>
      </c>
      <c r="F153" s="33">
        <v>3663</v>
      </c>
      <c r="G153" s="33">
        <v>741</v>
      </c>
      <c r="H153" s="33">
        <v>0</v>
      </c>
      <c r="I153" s="33">
        <v>0</v>
      </c>
      <c r="J153" s="33">
        <v>0</v>
      </c>
      <c r="K153" s="33">
        <v>0</v>
      </c>
      <c r="L153" s="33">
        <v>0</v>
      </c>
      <c r="M153" s="33">
        <v>20906</v>
      </c>
      <c r="N153" s="33">
        <v>0</v>
      </c>
      <c r="O153" s="33">
        <v>920</v>
      </c>
      <c r="P153" s="33">
        <v>0</v>
      </c>
      <c r="Q153" s="33">
        <v>1187</v>
      </c>
      <c r="R153" s="33">
        <v>4924</v>
      </c>
      <c r="S153" s="33">
        <v>0</v>
      </c>
      <c r="T153" s="33">
        <v>0</v>
      </c>
      <c r="U153" s="33">
        <v>0</v>
      </c>
      <c r="V153" s="33">
        <v>0</v>
      </c>
      <c r="W153" s="33">
        <v>5016</v>
      </c>
      <c r="X153" s="13">
        <f t="shared" si="15"/>
        <v>11435</v>
      </c>
      <c r="Y153" s="13">
        <f t="shared" si="16"/>
        <v>5016</v>
      </c>
      <c r="Z153" s="13">
        <f t="shared" si="17"/>
        <v>20906</v>
      </c>
      <c r="AA153" s="13">
        <f t="shared" si="12"/>
        <v>414746</v>
      </c>
      <c r="AB153" s="13">
        <f t="shared" si="13"/>
        <v>71549</v>
      </c>
      <c r="AC153" s="13">
        <f t="shared" si="14"/>
        <v>809995</v>
      </c>
    </row>
    <row r="154" spans="1:29" x14ac:dyDescent="0.25">
      <c r="A154" s="32" t="s">
        <v>173</v>
      </c>
      <c r="B154" s="30">
        <v>48</v>
      </c>
      <c r="C154" s="30" t="s">
        <v>168</v>
      </c>
      <c r="D154" s="33">
        <v>0</v>
      </c>
      <c r="E154" s="33">
        <v>0</v>
      </c>
      <c r="F154" s="33">
        <v>2898</v>
      </c>
      <c r="G154" s="33">
        <v>781</v>
      </c>
      <c r="H154" s="33">
        <v>0</v>
      </c>
      <c r="I154" s="33">
        <v>0</v>
      </c>
      <c r="J154" s="33">
        <v>0</v>
      </c>
      <c r="K154" s="33">
        <v>0</v>
      </c>
      <c r="L154" s="33">
        <v>0</v>
      </c>
      <c r="M154" s="33">
        <v>48868</v>
      </c>
      <c r="N154" s="33">
        <v>19336</v>
      </c>
      <c r="O154" s="33">
        <v>4924</v>
      </c>
      <c r="P154" s="33">
        <v>0</v>
      </c>
      <c r="Q154" s="33">
        <v>3106</v>
      </c>
      <c r="R154" s="33">
        <v>6952</v>
      </c>
      <c r="S154" s="33">
        <v>0</v>
      </c>
      <c r="T154" s="33">
        <v>0</v>
      </c>
      <c r="U154" s="33">
        <v>0</v>
      </c>
      <c r="V154" s="33">
        <v>0</v>
      </c>
      <c r="W154" s="33">
        <v>15625</v>
      </c>
      <c r="X154" s="13">
        <f t="shared" si="15"/>
        <v>18661</v>
      </c>
      <c r="Y154" s="13">
        <f t="shared" si="16"/>
        <v>15625</v>
      </c>
      <c r="Z154" s="13">
        <f t="shared" si="17"/>
        <v>68204</v>
      </c>
      <c r="AA154" s="13">
        <f t="shared" si="12"/>
        <v>433407</v>
      </c>
      <c r="AB154" s="13">
        <f t="shared" si="13"/>
        <v>87174</v>
      </c>
      <c r="AC154" s="13">
        <f t="shared" si="14"/>
        <v>878199</v>
      </c>
    </row>
    <row r="155" spans="1:29" x14ac:dyDescent="0.25">
      <c r="A155" s="32" t="s">
        <v>173</v>
      </c>
      <c r="B155" s="30">
        <v>49</v>
      </c>
      <c r="C155" s="30" t="s">
        <v>169</v>
      </c>
      <c r="D155" s="33">
        <v>0</v>
      </c>
      <c r="E155" s="33">
        <v>0</v>
      </c>
      <c r="F155" s="33">
        <v>1532</v>
      </c>
      <c r="G155" s="33">
        <v>1087</v>
      </c>
      <c r="H155" s="33">
        <v>0</v>
      </c>
      <c r="I155" s="33">
        <v>0</v>
      </c>
      <c r="J155" s="33">
        <v>0</v>
      </c>
      <c r="K155" s="33">
        <v>0</v>
      </c>
      <c r="L155" s="33">
        <v>0</v>
      </c>
      <c r="M155" s="33">
        <v>0</v>
      </c>
      <c r="N155" s="33">
        <v>24664</v>
      </c>
      <c r="O155" s="33">
        <v>500</v>
      </c>
      <c r="P155" s="33">
        <v>0</v>
      </c>
      <c r="Q155" s="33">
        <v>886</v>
      </c>
      <c r="R155" s="33">
        <v>4342</v>
      </c>
      <c r="S155" s="33">
        <v>0</v>
      </c>
      <c r="T155" s="33">
        <v>0</v>
      </c>
      <c r="U155" s="33">
        <v>0</v>
      </c>
      <c r="V155" s="33">
        <v>0</v>
      </c>
      <c r="W155" s="33">
        <v>6449</v>
      </c>
      <c r="X155" s="13">
        <f t="shared" si="15"/>
        <v>8347</v>
      </c>
      <c r="Y155" s="13">
        <f t="shared" si="16"/>
        <v>6449</v>
      </c>
      <c r="Z155" s="13">
        <f t="shared" si="17"/>
        <v>24664</v>
      </c>
      <c r="AA155" s="13">
        <f t="shared" si="12"/>
        <v>441754</v>
      </c>
      <c r="AB155" s="13">
        <f t="shared" si="13"/>
        <v>93623</v>
      </c>
      <c r="AC155" s="13">
        <f t="shared" si="14"/>
        <v>902863</v>
      </c>
    </row>
    <row r="156" spans="1:29" x14ac:dyDescent="0.25">
      <c r="A156" s="32" t="s">
        <v>173</v>
      </c>
      <c r="B156" s="30">
        <v>50</v>
      </c>
      <c r="C156" s="30" t="s">
        <v>170</v>
      </c>
      <c r="D156" s="33">
        <v>0</v>
      </c>
      <c r="E156" s="33">
        <v>0</v>
      </c>
      <c r="F156" s="33">
        <v>2199</v>
      </c>
      <c r="G156" s="33">
        <v>1290</v>
      </c>
      <c r="H156" s="33">
        <v>0</v>
      </c>
      <c r="I156" s="33">
        <v>0</v>
      </c>
      <c r="J156" s="33">
        <v>0</v>
      </c>
      <c r="K156" s="33">
        <v>0</v>
      </c>
      <c r="L156" s="33">
        <v>0</v>
      </c>
      <c r="M156" s="33">
        <v>0</v>
      </c>
      <c r="N156" s="33">
        <v>0</v>
      </c>
      <c r="O156" s="33">
        <v>769</v>
      </c>
      <c r="P156" s="33">
        <v>0</v>
      </c>
      <c r="Q156" s="33">
        <v>1288</v>
      </c>
      <c r="R156" s="33">
        <v>3969</v>
      </c>
      <c r="S156" s="33">
        <v>0</v>
      </c>
      <c r="T156" s="33">
        <v>0</v>
      </c>
      <c r="U156" s="33">
        <v>0</v>
      </c>
      <c r="V156" s="33">
        <v>0</v>
      </c>
      <c r="W156" s="33">
        <v>4756</v>
      </c>
      <c r="X156" s="13">
        <f t="shared" si="15"/>
        <v>9515</v>
      </c>
      <c r="Y156" s="13">
        <f t="shared" si="16"/>
        <v>4756</v>
      </c>
      <c r="Z156" s="13">
        <f t="shared" si="17"/>
        <v>0</v>
      </c>
      <c r="AA156" s="13">
        <f t="shared" si="12"/>
        <v>451269</v>
      </c>
      <c r="AB156" s="13">
        <f t="shared" si="13"/>
        <v>98379</v>
      </c>
      <c r="AC156" s="13">
        <f t="shared" si="14"/>
        <v>902863</v>
      </c>
    </row>
    <row r="157" spans="1:29" x14ac:dyDescent="0.25">
      <c r="A157" s="32" t="s">
        <v>173</v>
      </c>
      <c r="B157" s="30">
        <v>51</v>
      </c>
      <c r="C157" s="30" t="s">
        <v>171</v>
      </c>
      <c r="D157" s="33">
        <v>0</v>
      </c>
      <c r="E157" s="33">
        <v>0</v>
      </c>
      <c r="F157" s="33">
        <v>3416</v>
      </c>
      <c r="G157" s="33">
        <v>958</v>
      </c>
      <c r="H157" s="33">
        <v>0</v>
      </c>
      <c r="I157" s="33">
        <v>0</v>
      </c>
      <c r="J157" s="33">
        <v>0</v>
      </c>
      <c r="K157" s="33">
        <v>0</v>
      </c>
      <c r="L157" s="33">
        <v>0</v>
      </c>
      <c r="M157" s="33">
        <v>0</v>
      </c>
      <c r="N157" s="33">
        <v>0</v>
      </c>
      <c r="O157" s="33">
        <v>1132</v>
      </c>
      <c r="P157" s="33">
        <v>0</v>
      </c>
      <c r="Q157" s="33">
        <v>1950</v>
      </c>
      <c r="R157" s="33">
        <v>5006</v>
      </c>
      <c r="S157" s="33">
        <v>0</v>
      </c>
      <c r="T157" s="33">
        <v>0</v>
      </c>
      <c r="U157" s="33">
        <v>0</v>
      </c>
      <c r="V157" s="33">
        <v>0</v>
      </c>
      <c r="W157" s="33">
        <v>8066</v>
      </c>
      <c r="X157" s="13">
        <f t="shared" si="15"/>
        <v>12462</v>
      </c>
      <c r="Y157" s="13">
        <f t="shared" si="16"/>
        <v>8066</v>
      </c>
      <c r="Z157" s="13">
        <f t="shared" si="17"/>
        <v>0</v>
      </c>
      <c r="AA157" s="13">
        <f t="shared" si="12"/>
        <v>463731</v>
      </c>
      <c r="AB157" s="13">
        <f t="shared" si="13"/>
        <v>106445</v>
      </c>
      <c r="AC157" s="13">
        <f t="shared" si="14"/>
        <v>902863</v>
      </c>
    </row>
    <row r="158" spans="1:29" x14ac:dyDescent="0.25">
      <c r="A158" s="32" t="s">
        <v>173</v>
      </c>
      <c r="B158" s="30">
        <v>52</v>
      </c>
      <c r="C158" s="30" t="s">
        <v>172</v>
      </c>
      <c r="D158" s="33">
        <v>0</v>
      </c>
      <c r="E158" s="33">
        <v>0</v>
      </c>
      <c r="F158" s="33">
        <v>2974</v>
      </c>
      <c r="G158" s="33">
        <v>886</v>
      </c>
      <c r="H158" s="33">
        <v>0</v>
      </c>
      <c r="I158" s="33">
        <v>0</v>
      </c>
      <c r="J158" s="33">
        <v>0</v>
      </c>
      <c r="K158" s="33">
        <v>0</v>
      </c>
      <c r="L158" s="33">
        <v>0</v>
      </c>
      <c r="M158" s="33">
        <v>0</v>
      </c>
      <c r="N158" s="33">
        <v>0</v>
      </c>
      <c r="O158" s="33">
        <v>3838</v>
      </c>
      <c r="P158" s="33">
        <v>0</v>
      </c>
      <c r="Q158" s="33">
        <v>1717</v>
      </c>
      <c r="R158" s="33">
        <v>3823</v>
      </c>
      <c r="S158" s="33">
        <v>0</v>
      </c>
      <c r="T158" s="33">
        <v>0</v>
      </c>
      <c r="U158" s="33">
        <v>0</v>
      </c>
      <c r="V158" s="33">
        <v>0</v>
      </c>
      <c r="W158" s="33">
        <v>12377</v>
      </c>
      <c r="X158" s="13">
        <f t="shared" si="15"/>
        <v>13238</v>
      </c>
      <c r="Y158" s="13">
        <f t="shared" si="16"/>
        <v>12377</v>
      </c>
      <c r="Z158" s="13">
        <f t="shared" si="17"/>
        <v>0</v>
      </c>
      <c r="AA158" s="13">
        <f t="shared" si="12"/>
        <v>476969</v>
      </c>
      <c r="AB158" s="13">
        <f t="shared" si="13"/>
        <v>118822</v>
      </c>
      <c r="AC158" s="13">
        <f t="shared" si="14"/>
        <v>902863</v>
      </c>
    </row>
    <row r="159" spans="1:29" x14ac:dyDescent="0.25">
      <c r="A159" s="35" t="s">
        <v>1</v>
      </c>
      <c r="B159" s="36">
        <v>1</v>
      </c>
      <c r="C159" s="36" t="s">
        <v>4</v>
      </c>
      <c r="D159" s="37">
        <v>0</v>
      </c>
      <c r="E159" s="37">
        <v>0</v>
      </c>
      <c r="F159" s="37">
        <v>3365</v>
      </c>
      <c r="G159" s="37">
        <v>1924</v>
      </c>
      <c r="H159" s="37">
        <v>0</v>
      </c>
      <c r="I159" s="37">
        <v>0</v>
      </c>
      <c r="J159" s="37">
        <v>0</v>
      </c>
      <c r="K159" s="37">
        <v>0</v>
      </c>
      <c r="L159" s="37">
        <v>0</v>
      </c>
      <c r="M159" s="37">
        <v>0</v>
      </c>
      <c r="N159" s="37">
        <v>0</v>
      </c>
      <c r="O159" s="37">
        <v>488</v>
      </c>
      <c r="P159" s="37">
        <v>0</v>
      </c>
      <c r="Q159" s="37">
        <v>234</v>
      </c>
      <c r="R159" s="37">
        <v>0</v>
      </c>
      <c r="S159" s="37">
        <v>0</v>
      </c>
      <c r="T159" s="37">
        <v>0</v>
      </c>
      <c r="U159" s="37">
        <v>0</v>
      </c>
      <c r="V159" s="37">
        <v>0</v>
      </c>
      <c r="W159" s="37">
        <v>4137</v>
      </c>
      <c r="X159" s="42">
        <f t="shared" si="15"/>
        <v>6011</v>
      </c>
      <c r="Y159" s="42">
        <f t="shared" si="16"/>
        <v>4137</v>
      </c>
      <c r="Z159" s="42">
        <f t="shared" si="17"/>
        <v>0</v>
      </c>
      <c r="AA159" s="42">
        <f>X159</f>
        <v>6011</v>
      </c>
      <c r="AB159" s="42">
        <f>Y159</f>
        <v>4137</v>
      </c>
      <c r="AC159" s="42">
        <f>Z159</f>
        <v>0</v>
      </c>
    </row>
    <row r="160" spans="1:29" x14ac:dyDescent="0.25">
      <c r="A160" s="32" t="s">
        <v>1</v>
      </c>
      <c r="B160" s="30">
        <v>2</v>
      </c>
      <c r="C160" s="30" t="s">
        <v>5</v>
      </c>
      <c r="D160" s="33">
        <v>0</v>
      </c>
      <c r="E160" s="33">
        <v>0</v>
      </c>
      <c r="F160" s="33">
        <v>5806</v>
      </c>
      <c r="G160" s="33">
        <v>1224</v>
      </c>
      <c r="H160" s="33">
        <v>0</v>
      </c>
      <c r="I160" s="33">
        <v>0</v>
      </c>
      <c r="J160" s="33">
        <v>0</v>
      </c>
      <c r="K160" s="33">
        <v>0</v>
      </c>
      <c r="L160" s="33">
        <v>0</v>
      </c>
      <c r="M160" s="33">
        <v>0</v>
      </c>
      <c r="N160" s="33">
        <v>0</v>
      </c>
      <c r="O160" s="33">
        <v>4660</v>
      </c>
      <c r="P160" s="33">
        <v>0</v>
      </c>
      <c r="Q160" s="33">
        <v>1115</v>
      </c>
      <c r="R160" s="33">
        <v>0</v>
      </c>
      <c r="S160" s="33">
        <v>0</v>
      </c>
      <c r="T160" s="33">
        <v>0</v>
      </c>
      <c r="U160" s="33">
        <v>0</v>
      </c>
      <c r="V160" s="33">
        <v>0</v>
      </c>
      <c r="W160" s="33">
        <v>4784</v>
      </c>
      <c r="X160" s="13">
        <f t="shared" si="15"/>
        <v>12805</v>
      </c>
      <c r="Y160" s="13">
        <f t="shared" si="16"/>
        <v>4784</v>
      </c>
      <c r="Z160" s="13">
        <f t="shared" si="17"/>
        <v>0</v>
      </c>
      <c r="AA160" s="13">
        <f>AA159+X160</f>
        <v>18816</v>
      </c>
      <c r="AB160" s="13">
        <f>AB159+Y160</f>
        <v>8921</v>
      </c>
      <c r="AC160" s="13">
        <f>AC159+Z160</f>
        <v>0</v>
      </c>
    </row>
    <row r="161" spans="1:29" x14ac:dyDescent="0.25">
      <c r="A161" s="32" t="s">
        <v>1</v>
      </c>
      <c r="B161" s="30">
        <v>3</v>
      </c>
      <c r="C161" s="30" t="s">
        <v>6</v>
      </c>
      <c r="D161" s="33">
        <v>0</v>
      </c>
      <c r="E161" s="33">
        <v>0</v>
      </c>
      <c r="F161" s="33">
        <v>5084</v>
      </c>
      <c r="G161" s="33">
        <v>533</v>
      </c>
      <c r="H161" s="33">
        <v>0</v>
      </c>
      <c r="I161" s="33">
        <v>0</v>
      </c>
      <c r="J161" s="33">
        <v>0</v>
      </c>
      <c r="K161" s="33">
        <v>0</v>
      </c>
      <c r="L161" s="33">
        <v>0</v>
      </c>
      <c r="M161" s="33">
        <v>0</v>
      </c>
      <c r="N161" s="33">
        <v>0</v>
      </c>
      <c r="O161" s="33">
        <v>0</v>
      </c>
      <c r="P161" s="33">
        <v>0</v>
      </c>
      <c r="Q161" s="33">
        <v>587</v>
      </c>
      <c r="R161" s="33">
        <v>0</v>
      </c>
      <c r="S161" s="33">
        <v>0</v>
      </c>
      <c r="T161" s="33">
        <v>0</v>
      </c>
      <c r="U161" s="33">
        <v>0</v>
      </c>
      <c r="V161" s="33">
        <v>0</v>
      </c>
      <c r="W161" s="33">
        <v>4116</v>
      </c>
      <c r="X161" s="13">
        <f t="shared" si="15"/>
        <v>6204</v>
      </c>
      <c r="Y161" s="13">
        <f t="shared" si="16"/>
        <v>4116</v>
      </c>
      <c r="Z161" s="13">
        <f t="shared" si="17"/>
        <v>0</v>
      </c>
      <c r="AA161" s="13">
        <f t="shared" ref="AA161:AA210" si="18">AA160+X161</f>
        <v>25020</v>
      </c>
      <c r="AB161" s="13">
        <f t="shared" ref="AB161:AB210" si="19">AB160+Y161</f>
        <v>13037</v>
      </c>
      <c r="AC161" s="13">
        <f t="shared" ref="AC161:AC210" si="20">AC160+Z161</f>
        <v>0</v>
      </c>
    </row>
    <row r="162" spans="1:29" x14ac:dyDescent="0.25">
      <c r="A162" s="32" t="s">
        <v>1</v>
      </c>
      <c r="B162" s="30">
        <v>4</v>
      </c>
      <c r="C162" s="30" t="s">
        <v>7</v>
      </c>
      <c r="D162" s="33">
        <v>0</v>
      </c>
      <c r="E162" s="33">
        <v>0</v>
      </c>
      <c r="F162" s="33">
        <v>6686</v>
      </c>
      <c r="G162" s="33">
        <v>998</v>
      </c>
      <c r="H162" s="33">
        <v>0</v>
      </c>
      <c r="I162" s="33">
        <v>0</v>
      </c>
      <c r="J162" s="33">
        <v>0</v>
      </c>
      <c r="K162" s="33">
        <v>0</v>
      </c>
      <c r="L162" s="33">
        <v>0</v>
      </c>
      <c r="M162" s="33">
        <v>0</v>
      </c>
      <c r="N162" s="33">
        <v>0</v>
      </c>
      <c r="O162" s="33">
        <v>0</v>
      </c>
      <c r="P162" s="33">
        <v>0</v>
      </c>
      <c r="Q162" s="33">
        <v>742</v>
      </c>
      <c r="R162" s="33">
        <v>0</v>
      </c>
      <c r="S162" s="33">
        <v>0</v>
      </c>
      <c r="T162" s="33">
        <v>0</v>
      </c>
      <c r="U162" s="33">
        <v>0</v>
      </c>
      <c r="V162" s="33">
        <v>0</v>
      </c>
      <c r="W162" s="33">
        <v>3697</v>
      </c>
      <c r="X162" s="13">
        <f t="shared" si="15"/>
        <v>8426</v>
      </c>
      <c r="Y162" s="13">
        <f t="shared" si="16"/>
        <v>3697</v>
      </c>
      <c r="Z162" s="13">
        <f t="shared" si="17"/>
        <v>0</v>
      </c>
      <c r="AA162" s="13">
        <f t="shared" si="18"/>
        <v>33446</v>
      </c>
      <c r="AB162" s="13">
        <f t="shared" si="19"/>
        <v>16734</v>
      </c>
      <c r="AC162" s="13">
        <f t="shared" si="20"/>
        <v>0</v>
      </c>
    </row>
    <row r="163" spans="1:29" x14ac:dyDescent="0.25">
      <c r="A163" s="32" t="s">
        <v>1</v>
      </c>
      <c r="B163" s="30">
        <v>5</v>
      </c>
      <c r="C163" s="30" t="s">
        <v>8</v>
      </c>
      <c r="D163" s="33">
        <v>0</v>
      </c>
      <c r="E163" s="33">
        <v>0</v>
      </c>
      <c r="F163" s="33">
        <v>5799</v>
      </c>
      <c r="G163" s="33">
        <v>967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3099</v>
      </c>
      <c r="N163" s="33">
        <v>0</v>
      </c>
      <c r="O163" s="33">
        <v>0</v>
      </c>
      <c r="P163" s="33">
        <v>0</v>
      </c>
      <c r="Q163" s="33">
        <v>593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700</v>
      </c>
      <c r="X163" s="13">
        <f t="shared" si="15"/>
        <v>7359</v>
      </c>
      <c r="Y163" s="13">
        <f t="shared" si="16"/>
        <v>700</v>
      </c>
      <c r="Z163" s="13">
        <f t="shared" si="17"/>
        <v>3099</v>
      </c>
      <c r="AA163" s="13">
        <f t="shared" si="18"/>
        <v>40805</v>
      </c>
      <c r="AB163" s="13">
        <f t="shared" si="19"/>
        <v>17434</v>
      </c>
      <c r="AC163" s="13">
        <f t="shared" si="20"/>
        <v>3099</v>
      </c>
    </row>
    <row r="164" spans="1:29" x14ac:dyDescent="0.25">
      <c r="A164" s="32" t="s">
        <v>1</v>
      </c>
      <c r="B164" s="30">
        <v>6</v>
      </c>
      <c r="C164" s="30" t="s">
        <v>9</v>
      </c>
      <c r="D164" s="33">
        <v>0</v>
      </c>
      <c r="E164" s="33">
        <v>0</v>
      </c>
      <c r="F164" s="33">
        <v>5776</v>
      </c>
      <c r="G164" s="33">
        <v>1254</v>
      </c>
      <c r="H164" s="33">
        <v>0</v>
      </c>
      <c r="I164" s="33">
        <v>0</v>
      </c>
      <c r="J164" s="33">
        <v>0</v>
      </c>
      <c r="K164" s="33">
        <v>0</v>
      </c>
      <c r="L164" s="33">
        <v>0</v>
      </c>
      <c r="M164" s="33">
        <v>0</v>
      </c>
      <c r="N164" s="33">
        <v>0</v>
      </c>
      <c r="O164" s="33">
        <v>0</v>
      </c>
      <c r="P164" s="33">
        <v>0</v>
      </c>
      <c r="Q164" s="33">
        <v>1045</v>
      </c>
      <c r="R164" s="33">
        <v>0</v>
      </c>
      <c r="S164" s="33">
        <v>0</v>
      </c>
      <c r="T164" s="33">
        <v>0</v>
      </c>
      <c r="U164" s="33">
        <v>0</v>
      </c>
      <c r="V164" s="33">
        <v>0</v>
      </c>
      <c r="W164" s="33">
        <v>0</v>
      </c>
      <c r="X164" s="13">
        <f t="shared" si="15"/>
        <v>8075</v>
      </c>
      <c r="Y164" s="13">
        <f t="shared" si="16"/>
        <v>0</v>
      </c>
      <c r="Z164" s="13">
        <f t="shared" si="17"/>
        <v>0</v>
      </c>
      <c r="AA164" s="13">
        <f t="shared" si="18"/>
        <v>48880</v>
      </c>
      <c r="AB164" s="13">
        <f t="shared" si="19"/>
        <v>17434</v>
      </c>
      <c r="AC164" s="13">
        <f t="shared" si="20"/>
        <v>3099</v>
      </c>
    </row>
    <row r="165" spans="1:29" x14ac:dyDescent="0.25">
      <c r="A165" s="32" t="s">
        <v>1</v>
      </c>
      <c r="B165" s="30">
        <v>7</v>
      </c>
      <c r="C165" s="30" t="s">
        <v>10</v>
      </c>
      <c r="D165" s="33">
        <v>0</v>
      </c>
      <c r="E165" s="33">
        <v>0</v>
      </c>
      <c r="F165" s="33">
        <v>6130</v>
      </c>
      <c r="G165" s="33">
        <v>1056</v>
      </c>
      <c r="H165" s="33">
        <v>0</v>
      </c>
      <c r="I165" s="33">
        <v>0</v>
      </c>
      <c r="J165" s="33">
        <v>0</v>
      </c>
      <c r="K165" s="33">
        <v>0</v>
      </c>
      <c r="L165" s="33">
        <v>0</v>
      </c>
      <c r="M165" s="33">
        <v>0</v>
      </c>
      <c r="N165" s="33">
        <v>0</v>
      </c>
      <c r="O165" s="33">
        <v>0</v>
      </c>
      <c r="P165" s="33">
        <v>0</v>
      </c>
      <c r="Q165" s="33">
        <v>645</v>
      </c>
      <c r="R165" s="33">
        <v>72</v>
      </c>
      <c r="S165" s="33">
        <v>0</v>
      </c>
      <c r="T165" s="33">
        <v>0</v>
      </c>
      <c r="U165" s="33">
        <v>0</v>
      </c>
      <c r="V165" s="33">
        <v>0</v>
      </c>
      <c r="W165" s="33">
        <v>0</v>
      </c>
      <c r="X165" s="13">
        <f t="shared" si="15"/>
        <v>7903</v>
      </c>
      <c r="Y165" s="13">
        <f t="shared" si="16"/>
        <v>0</v>
      </c>
      <c r="Z165" s="13">
        <f t="shared" si="17"/>
        <v>0</v>
      </c>
      <c r="AA165" s="13">
        <f t="shared" si="18"/>
        <v>56783</v>
      </c>
      <c r="AB165" s="13">
        <f t="shared" si="19"/>
        <v>17434</v>
      </c>
      <c r="AC165" s="13">
        <f t="shared" si="20"/>
        <v>3099</v>
      </c>
    </row>
    <row r="166" spans="1:29" x14ac:dyDescent="0.25">
      <c r="A166" s="32" t="s">
        <v>1</v>
      </c>
      <c r="B166" s="30">
        <v>8</v>
      </c>
      <c r="C166" s="30" t="s">
        <v>11</v>
      </c>
      <c r="D166" s="33">
        <v>0</v>
      </c>
      <c r="E166" s="33">
        <v>0</v>
      </c>
      <c r="F166" s="33">
        <v>6020</v>
      </c>
      <c r="G166" s="33">
        <v>1802</v>
      </c>
      <c r="H166" s="33">
        <v>0</v>
      </c>
      <c r="I166" s="33">
        <v>0</v>
      </c>
      <c r="J166" s="33">
        <v>0</v>
      </c>
      <c r="K166" s="33">
        <v>0</v>
      </c>
      <c r="L166" s="33">
        <v>0</v>
      </c>
      <c r="M166" s="33">
        <v>6361</v>
      </c>
      <c r="N166" s="33">
        <v>0</v>
      </c>
      <c r="O166" s="33">
        <v>0</v>
      </c>
      <c r="P166" s="33">
        <v>0</v>
      </c>
      <c r="Q166" s="33">
        <v>1844</v>
      </c>
      <c r="R166" s="33">
        <v>469</v>
      </c>
      <c r="S166" s="33">
        <v>0</v>
      </c>
      <c r="T166" s="33">
        <v>0</v>
      </c>
      <c r="U166" s="33">
        <v>0</v>
      </c>
      <c r="V166" s="33">
        <v>0</v>
      </c>
      <c r="W166" s="33">
        <v>0</v>
      </c>
      <c r="X166" s="13">
        <f t="shared" si="15"/>
        <v>10135</v>
      </c>
      <c r="Y166" s="13">
        <f t="shared" si="16"/>
        <v>0</v>
      </c>
      <c r="Z166" s="13">
        <f t="shared" si="17"/>
        <v>6361</v>
      </c>
      <c r="AA166" s="13">
        <f t="shared" si="18"/>
        <v>66918</v>
      </c>
      <c r="AB166" s="13">
        <f t="shared" si="19"/>
        <v>17434</v>
      </c>
      <c r="AC166" s="13">
        <f t="shared" si="20"/>
        <v>9460</v>
      </c>
    </row>
    <row r="167" spans="1:29" x14ac:dyDescent="0.25">
      <c r="A167" s="32" t="s">
        <v>1</v>
      </c>
      <c r="B167" s="30">
        <v>9</v>
      </c>
      <c r="C167" s="30" t="s">
        <v>12</v>
      </c>
      <c r="D167" s="33">
        <v>0</v>
      </c>
      <c r="E167" s="33">
        <v>0</v>
      </c>
      <c r="F167" s="33">
        <v>7583</v>
      </c>
      <c r="G167" s="33">
        <v>384</v>
      </c>
      <c r="H167" s="33">
        <v>0</v>
      </c>
      <c r="I167" s="33">
        <v>1967</v>
      </c>
      <c r="J167" s="33">
        <v>0</v>
      </c>
      <c r="K167" s="33">
        <v>0</v>
      </c>
      <c r="L167" s="33">
        <v>0</v>
      </c>
      <c r="M167" s="33">
        <v>4114</v>
      </c>
      <c r="N167" s="33">
        <v>0</v>
      </c>
      <c r="O167" s="33">
        <v>6079</v>
      </c>
      <c r="P167" s="33">
        <v>0</v>
      </c>
      <c r="Q167" s="33">
        <v>1707</v>
      </c>
      <c r="R167" s="33">
        <v>181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X167" s="13">
        <f t="shared" si="15"/>
        <v>15934</v>
      </c>
      <c r="Y167" s="13">
        <f t="shared" si="16"/>
        <v>0</v>
      </c>
      <c r="Z167" s="13">
        <f t="shared" si="17"/>
        <v>6081</v>
      </c>
      <c r="AA167" s="13">
        <f t="shared" si="18"/>
        <v>82852</v>
      </c>
      <c r="AB167" s="13">
        <f t="shared" si="19"/>
        <v>17434</v>
      </c>
      <c r="AC167" s="13">
        <f t="shared" si="20"/>
        <v>15541</v>
      </c>
    </row>
    <row r="168" spans="1:29" x14ac:dyDescent="0.25">
      <c r="A168" s="32" t="s">
        <v>1</v>
      </c>
      <c r="B168" s="30">
        <v>10</v>
      </c>
      <c r="C168" s="30" t="s">
        <v>13</v>
      </c>
      <c r="D168" s="33">
        <v>0</v>
      </c>
      <c r="E168" s="33">
        <v>0</v>
      </c>
      <c r="F168" s="33">
        <v>5092</v>
      </c>
      <c r="G168" s="33">
        <v>0</v>
      </c>
      <c r="H168" s="33">
        <v>0</v>
      </c>
      <c r="I168" s="33">
        <v>0</v>
      </c>
      <c r="J168" s="33">
        <v>0</v>
      </c>
      <c r="K168" s="33">
        <v>0</v>
      </c>
      <c r="L168" s="33">
        <v>0</v>
      </c>
      <c r="M168" s="33">
        <v>2757</v>
      </c>
      <c r="N168" s="33">
        <v>0</v>
      </c>
      <c r="O168" s="33">
        <v>0</v>
      </c>
      <c r="P168" s="33">
        <v>0</v>
      </c>
      <c r="Q168" s="33">
        <v>353</v>
      </c>
      <c r="R168" s="33">
        <v>0</v>
      </c>
      <c r="S168" s="33">
        <v>0</v>
      </c>
      <c r="T168" s="33">
        <v>0</v>
      </c>
      <c r="U168" s="33">
        <v>0</v>
      </c>
      <c r="V168" s="33">
        <v>0</v>
      </c>
      <c r="W168" s="33">
        <v>0</v>
      </c>
      <c r="X168" s="13">
        <f t="shared" si="15"/>
        <v>5445</v>
      </c>
      <c r="Y168" s="13">
        <f t="shared" si="16"/>
        <v>0</v>
      </c>
      <c r="Z168" s="13">
        <f t="shared" si="17"/>
        <v>2757</v>
      </c>
      <c r="AA168" s="13">
        <f t="shared" si="18"/>
        <v>88297</v>
      </c>
      <c r="AB168" s="13">
        <f t="shared" si="19"/>
        <v>17434</v>
      </c>
      <c r="AC168" s="13">
        <f t="shared" si="20"/>
        <v>18298</v>
      </c>
    </row>
    <row r="169" spans="1:29" x14ac:dyDescent="0.25">
      <c r="A169" s="32" t="s">
        <v>1</v>
      </c>
      <c r="B169" s="30">
        <v>11</v>
      </c>
      <c r="C169" s="30" t="s">
        <v>14</v>
      </c>
      <c r="D169" s="33">
        <v>0</v>
      </c>
      <c r="E169" s="33">
        <v>0</v>
      </c>
      <c r="F169" s="33">
        <v>4158</v>
      </c>
      <c r="G169" s="33">
        <v>660</v>
      </c>
      <c r="H169" s="33">
        <v>0</v>
      </c>
      <c r="I169" s="33">
        <v>0</v>
      </c>
      <c r="J169" s="33">
        <v>0</v>
      </c>
      <c r="K169" s="33">
        <v>0</v>
      </c>
      <c r="L169" s="33">
        <v>0</v>
      </c>
      <c r="M169" s="33">
        <v>4637</v>
      </c>
      <c r="N169" s="33">
        <v>0</v>
      </c>
      <c r="O169" s="33">
        <v>0</v>
      </c>
      <c r="P169" s="33">
        <v>0</v>
      </c>
      <c r="Q169" s="33">
        <v>643</v>
      </c>
      <c r="R169" s="33">
        <v>0</v>
      </c>
      <c r="S169" s="33">
        <v>0</v>
      </c>
      <c r="T169" s="33">
        <v>0</v>
      </c>
      <c r="U169" s="33">
        <v>0</v>
      </c>
      <c r="V169" s="33">
        <v>0</v>
      </c>
      <c r="W169" s="33">
        <v>0</v>
      </c>
      <c r="X169" s="13">
        <f t="shared" si="15"/>
        <v>5461</v>
      </c>
      <c r="Y169" s="13">
        <f t="shared" si="16"/>
        <v>0</v>
      </c>
      <c r="Z169" s="13">
        <f t="shared" si="17"/>
        <v>4637</v>
      </c>
      <c r="AA169" s="13">
        <f t="shared" si="18"/>
        <v>93758</v>
      </c>
      <c r="AB169" s="13">
        <f t="shared" si="19"/>
        <v>17434</v>
      </c>
      <c r="AC169" s="13">
        <f t="shared" si="20"/>
        <v>22935</v>
      </c>
    </row>
    <row r="170" spans="1:29" x14ac:dyDescent="0.25">
      <c r="A170" s="32" t="s">
        <v>1</v>
      </c>
      <c r="B170" s="30">
        <v>12</v>
      </c>
      <c r="C170" s="30" t="s">
        <v>15</v>
      </c>
      <c r="D170" s="33">
        <v>0</v>
      </c>
      <c r="E170" s="33">
        <v>0</v>
      </c>
      <c r="F170" s="33">
        <v>4146</v>
      </c>
      <c r="G170" s="33">
        <v>528</v>
      </c>
      <c r="H170" s="33">
        <v>0</v>
      </c>
      <c r="I170" s="33">
        <v>0</v>
      </c>
      <c r="J170" s="33">
        <v>0</v>
      </c>
      <c r="K170" s="33">
        <v>0</v>
      </c>
      <c r="L170" s="33">
        <v>0</v>
      </c>
      <c r="M170" s="33">
        <v>17750</v>
      </c>
      <c r="N170" s="33">
        <v>0</v>
      </c>
      <c r="O170" s="33">
        <v>0</v>
      </c>
      <c r="P170" s="33">
        <v>0</v>
      </c>
      <c r="Q170" s="33">
        <v>520</v>
      </c>
      <c r="R170" s="33">
        <v>0</v>
      </c>
      <c r="S170" s="33">
        <v>0</v>
      </c>
      <c r="T170" s="33">
        <v>0</v>
      </c>
      <c r="U170" s="33">
        <v>0</v>
      </c>
      <c r="V170" s="33">
        <v>0</v>
      </c>
      <c r="W170" s="33">
        <v>0</v>
      </c>
      <c r="X170" s="13">
        <f t="shared" si="15"/>
        <v>5194</v>
      </c>
      <c r="Y170" s="13">
        <f t="shared" si="16"/>
        <v>0</v>
      </c>
      <c r="Z170" s="13">
        <f t="shared" si="17"/>
        <v>17750</v>
      </c>
      <c r="AA170" s="13">
        <f t="shared" si="18"/>
        <v>98952</v>
      </c>
      <c r="AB170" s="13">
        <f t="shared" si="19"/>
        <v>17434</v>
      </c>
      <c r="AC170" s="13">
        <f t="shared" si="20"/>
        <v>40685</v>
      </c>
    </row>
    <row r="171" spans="1:29" x14ac:dyDescent="0.25">
      <c r="A171" s="32" t="s">
        <v>1</v>
      </c>
      <c r="B171" s="30">
        <v>13</v>
      </c>
      <c r="C171" s="30" t="s">
        <v>16</v>
      </c>
      <c r="D171" s="33">
        <v>0</v>
      </c>
      <c r="E171" s="33">
        <v>0</v>
      </c>
      <c r="F171" s="33">
        <v>4564</v>
      </c>
      <c r="G171" s="33">
        <v>820</v>
      </c>
      <c r="H171" s="33">
        <v>0</v>
      </c>
      <c r="I171" s="33">
        <v>0</v>
      </c>
      <c r="J171" s="33">
        <v>0</v>
      </c>
      <c r="K171" s="33">
        <v>0</v>
      </c>
      <c r="L171" s="33">
        <v>0</v>
      </c>
      <c r="M171" s="33">
        <v>5719</v>
      </c>
      <c r="N171" s="33">
        <v>0</v>
      </c>
      <c r="O171" s="33">
        <v>0</v>
      </c>
      <c r="P171" s="33">
        <v>0</v>
      </c>
      <c r="Q171" s="33">
        <v>804</v>
      </c>
      <c r="R171" s="33">
        <v>237</v>
      </c>
      <c r="S171" s="33">
        <v>0</v>
      </c>
      <c r="T171" s="33">
        <v>0</v>
      </c>
      <c r="U171" s="33">
        <v>0</v>
      </c>
      <c r="V171" s="33">
        <v>0</v>
      </c>
      <c r="W171" s="33">
        <v>0</v>
      </c>
      <c r="X171" s="13">
        <f t="shared" si="15"/>
        <v>6425</v>
      </c>
      <c r="Y171" s="13">
        <f t="shared" si="16"/>
        <v>0</v>
      </c>
      <c r="Z171" s="13">
        <f t="shared" si="17"/>
        <v>5719</v>
      </c>
      <c r="AA171" s="13">
        <f t="shared" si="18"/>
        <v>105377</v>
      </c>
      <c r="AB171" s="13">
        <f t="shared" si="19"/>
        <v>17434</v>
      </c>
      <c r="AC171" s="13">
        <f t="shared" si="20"/>
        <v>46404</v>
      </c>
    </row>
    <row r="172" spans="1:29" x14ac:dyDescent="0.25">
      <c r="A172" s="32" t="s">
        <v>1</v>
      </c>
      <c r="B172" s="30">
        <v>14</v>
      </c>
      <c r="C172" s="30" t="s">
        <v>17</v>
      </c>
      <c r="D172" s="33">
        <v>0</v>
      </c>
      <c r="E172" s="33">
        <v>0</v>
      </c>
      <c r="F172" s="33">
        <v>4083</v>
      </c>
      <c r="G172" s="33">
        <v>99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4910</v>
      </c>
      <c r="N172" s="33">
        <v>0</v>
      </c>
      <c r="O172" s="33">
        <v>0</v>
      </c>
      <c r="P172" s="33">
        <v>0</v>
      </c>
      <c r="Q172" s="33">
        <v>1204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197</v>
      </c>
      <c r="X172" s="13">
        <f t="shared" si="15"/>
        <v>5386</v>
      </c>
      <c r="Y172" s="13">
        <f t="shared" si="16"/>
        <v>197</v>
      </c>
      <c r="Z172" s="13">
        <f t="shared" si="17"/>
        <v>4910</v>
      </c>
      <c r="AA172" s="13">
        <f t="shared" si="18"/>
        <v>110763</v>
      </c>
      <c r="AB172" s="13">
        <f t="shared" si="19"/>
        <v>17631</v>
      </c>
      <c r="AC172" s="13">
        <f t="shared" si="20"/>
        <v>51314</v>
      </c>
    </row>
    <row r="173" spans="1:29" x14ac:dyDescent="0.25">
      <c r="A173" s="32" t="s">
        <v>1</v>
      </c>
      <c r="B173" s="30">
        <v>15</v>
      </c>
      <c r="C173" s="30" t="s">
        <v>18</v>
      </c>
      <c r="D173" s="33">
        <v>0</v>
      </c>
      <c r="E173" s="33">
        <v>0</v>
      </c>
      <c r="F173" s="33">
        <v>5672</v>
      </c>
      <c r="G173" s="33">
        <v>278</v>
      </c>
      <c r="H173" s="33">
        <v>0</v>
      </c>
      <c r="I173" s="33">
        <v>0</v>
      </c>
      <c r="J173" s="33">
        <v>0</v>
      </c>
      <c r="K173" s="33">
        <v>0</v>
      </c>
      <c r="L173" s="33">
        <v>0</v>
      </c>
      <c r="M173" s="33">
        <v>3480</v>
      </c>
      <c r="N173" s="33">
        <v>0</v>
      </c>
      <c r="O173" s="33">
        <v>440</v>
      </c>
      <c r="P173" s="33">
        <v>0</v>
      </c>
      <c r="Q173" s="33">
        <v>3854</v>
      </c>
      <c r="R173" s="33">
        <v>647</v>
      </c>
      <c r="S173" s="33">
        <v>0</v>
      </c>
      <c r="T173" s="33">
        <v>0</v>
      </c>
      <c r="U173" s="33">
        <v>0</v>
      </c>
      <c r="V173" s="33">
        <v>0</v>
      </c>
      <c r="W173" s="33">
        <v>0</v>
      </c>
      <c r="X173" s="13">
        <f t="shared" si="15"/>
        <v>10891</v>
      </c>
      <c r="Y173" s="13">
        <f t="shared" si="16"/>
        <v>0</v>
      </c>
      <c r="Z173" s="13">
        <f t="shared" si="17"/>
        <v>3480</v>
      </c>
      <c r="AA173" s="13">
        <f t="shared" si="18"/>
        <v>121654</v>
      </c>
      <c r="AB173" s="13">
        <f t="shared" si="19"/>
        <v>17631</v>
      </c>
      <c r="AC173" s="13">
        <f t="shared" si="20"/>
        <v>54794</v>
      </c>
    </row>
    <row r="174" spans="1:29" x14ac:dyDescent="0.25">
      <c r="A174" s="32" t="s">
        <v>1</v>
      </c>
      <c r="B174" s="30">
        <v>16</v>
      </c>
      <c r="C174" s="30" t="s">
        <v>19</v>
      </c>
      <c r="D174" s="33">
        <v>0</v>
      </c>
      <c r="E174" s="33">
        <v>0</v>
      </c>
      <c r="F174" s="33">
        <v>5649</v>
      </c>
      <c r="G174" s="33">
        <v>34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6813</v>
      </c>
      <c r="N174" s="33">
        <v>0</v>
      </c>
      <c r="O174" s="33">
        <v>880</v>
      </c>
      <c r="P174" s="33">
        <v>0</v>
      </c>
      <c r="Q174" s="33">
        <v>10643</v>
      </c>
      <c r="R174" s="33">
        <v>2147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X174" s="13">
        <f t="shared" si="15"/>
        <v>19353</v>
      </c>
      <c r="Y174" s="13">
        <f t="shared" si="16"/>
        <v>0</v>
      </c>
      <c r="Z174" s="13">
        <f t="shared" si="17"/>
        <v>6813</v>
      </c>
      <c r="AA174" s="13">
        <f t="shared" si="18"/>
        <v>141007</v>
      </c>
      <c r="AB174" s="13">
        <f t="shared" si="19"/>
        <v>17631</v>
      </c>
      <c r="AC174" s="13">
        <f t="shared" si="20"/>
        <v>61607</v>
      </c>
    </row>
    <row r="175" spans="1:29" x14ac:dyDescent="0.25">
      <c r="A175" s="32" t="s">
        <v>1</v>
      </c>
      <c r="B175" s="30">
        <v>17</v>
      </c>
      <c r="C175" s="30" t="s">
        <v>20</v>
      </c>
      <c r="D175" s="33">
        <v>0</v>
      </c>
      <c r="E175" s="33">
        <v>0</v>
      </c>
      <c r="F175" s="33">
        <v>4980</v>
      </c>
      <c r="G175" s="33">
        <v>133</v>
      </c>
      <c r="H175" s="33">
        <v>0</v>
      </c>
      <c r="I175" s="33">
        <v>0</v>
      </c>
      <c r="J175" s="33">
        <v>0</v>
      </c>
      <c r="K175" s="33">
        <v>0</v>
      </c>
      <c r="L175" s="33">
        <v>0</v>
      </c>
      <c r="M175" s="33">
        <v>5494</v>
      </c>
      <c r="N175" s="33">
        <v>0</v>
      </c>
      <c r="O175" s="33">
        <v>4469</v>
      </c>
      <c r="P175" s="33">
        <v>0</v>
      </c>
      <c r="Q175" s="33">
        <v>11815</v>
      </c>
      <c r="R175" s="33">
        <v>2592</v>
      </c>
      <c r="S175" s="33">
        <v>0</v>
      </c>
      <c r="T175" s="33">
        <v>0</v>
      </c>
      <c r="U175" s="33">
        <v>0</v>
      </c>
      <c r="V175" s="33">
        <v>0</v>
      </c>
      <c r="W175" s="33">
        <v>133</v>
      </c>
      <c r="X175" s="13">
        <f t="shared" si="15"/>
        <v>23989</v>
      </c>
      <c r="Y175" s="13">
        <f t="shared" si="16"/>
        <v>133</v>
      </c>
      <c r="Z175" s="13">
        <f t="shared" si="17"/>
        <v>5494</v>
      </c>
      <c r="AA175" s="13">
        <f t="shared" si="18"/>
        <v>164996</v>
      </c>
      <c r="AB175" s="13">
        <f t="shared" si="19"/>
        <v>17764</v>
      </c>
      <c r="AC175" s="13">
        <f t="shared" si="20"/>
        <v>67101</v>
      </c>
    </row>
    <row r="176" spans="1:29" x14ac:dyDescent="0.25">
      <c r="A176" s="32" t="s">
        <v>1</v>
      </c>
      <c r="B176" s="30">
        <v>18</v>
      </c>
      <c r="C176" s="30" t="s">
        <v>21</v>
      </c>
      <c r="D176" s="33">
        <v>0</v>
      </c>
      <c r="E176" s="33">
        <v>0</v>
      </c>
      <c r="F176" s="33">
        <v>6318</v>
      </c>
      <c r="G176" s="33">
        <v>563</v>
      </c>
      <c r="H176" s="33">
        <v>0</v>
      </c>
      <c r="I176" s="33">
        <v>0</v>
      </c>
      <c r="J176" s="33">
        <v>0</v>
      </c>
      <c r="K176" s="33">
        <v>0</v>
      </c>
      <c r="L176" s="33">
        <v>0</v>
      </c>
      <c r="M176" s="33">
        <v>108</v>
      </c>
      <c r="N176" s="33">
        <v>0</v>
      </c>
      <c r="O176" s="33">
        <v>1757</v>
      </c>
      <c r="P176" s="33">
        <v>0</v>
      </c>
      <c r="Q176" s="33">
        <v>940</v>
      </c>
      <c r="R176" s="33">
        <v>1806</v>
      </c>
      <c r="S176" s="33">
        <v>0</v>
      </c>
      <c r="T176" s="33">
        <v>0</v>
      </c>
      <c r="U176" s="33">
        <v>0</v>
      </c>
      <c r="V176" s="33">
        <v>0</v>
      </c>
      <c r="W176" s="33">
        <v>23</v>
      </c>
      <c r="X176" s="13">
        <f t="shared" si="15"/>
        <v>11384</v>
      </c>
      <c r="Y176" s="13">
        <f t="shared" si="16"/>
        <v>23</v>
      </c>
      <c r="Z176" s="13">
        <f t="shared" si="17"/>
        <v>108</v>
      </c>
      <c r="AA176" s="13">
        <f t="shared" si="18"/>
        <v>176380</v>
      </c>
      <c r="AB176" s="13">
        <f t="shared" si="19"/>
        <v>17787</v>
      </c>
      <c r="AC176" s="13">
        <f t="shared" si="20"/>
        <v>67209</v>
      </c>
    </row>
    <row r="177" spans="1:29" x14ac:dyDescent="0.25">
      <c r="A177" s="32" t="s">
        <v>1</v>
      </c>
      <c r="B177" s="30">
        <v>19</v>
      </c>
      <c r="C177" s="30" t="s">
        <v>22</v>
      </c>
      <c r="D177" s="33">
        <v>0</v>
      </c>
      <c r="E177" s="33">
        <v>0</v>
      </c>
      <c r="F177" s="33">
        <v>3753</v>
      </c>
      <c r="G177" s="33">
        <v>70</v>
      </c>
      <c r="H177" s="33">
        <v>0</v>
      </c>
      <c r="I177" s="33">
        <v>0</v>
      </c>
      <c r="J177" s="33">
        <v>19443</v>
      </c>
      <c r="K177" s="33">
        <v>0</v>
      </c>
      <c r="L177" s="33">
        <v>0</v>
      </c>
      <c r="M177" s="33">
        <v>2407</v>
      </c>
      <c r="N177" s="33">
        <v>0</v>
      </c>
      <c r="O177" s="33">
        <v>1789</v>
      </c>
      <c r="P177" s="33">
        <v>0</v>
      </c>
      <c r="Q177" s="33">
        <v>1534</v>
      </c>
      <c r="R177" s="33">
        <v>4292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X177" s="13">
        <f t="shared" si="15"/>
        <v>11438</v>
      </c>
      <c r="Y177" s="13">
        <f t="shared" si="16"/>
        <v>0</v>
      </c>
      <c r="Z177" s="13">
        <f t="shared" si="17"/>
        <v>21850</v>
      </c>
      <c r="AA177" s="13">
        <f t="shared" si="18"/>
        <v>187818</v>
      </c>
      <c r="AB177" s="13">
        <f t="shared" si="19"/>
        <v>17787</v>
      </c>
      <c r="AC177" s="13">
        <f t="shared" si="20"/>
        <v>89059</v>
      </c>
    </row>
    <row r="178" spans="1:29" x14ac:dyDescent="0.25">
      <c r="A178" s="32" t="s">
        <v>1</v>
      </c>
      <c r="B178" s="30">
        <v>20</v>
      </c>
      <c r="C178" s="30" t="s">
        <v>23</v>
      </c>
      <c r="D178" s="33">
        <v>0</v>
      </c>
      <c r="E178" s="33">
        <v>0</v>
      </c>
      <c r="F178" s="33">
        <v>5762</v>
      </c>
      <c r="G178" s="33">
        <v>722</v>
      </c>
      <c r="H178" s="33">
        <v>0</v>
      </c>
      <c r="I178" s="33">
        <v>0</v>
      </c>
      <c r="J178" s="33">
        <v>0</v>
      </c>
      <c r="K178" s="33">
        <v>0</v>
      </c>
      <c r="L178" s="33">
        <v>0</v>
      </c>
      <c r="M178" s="33">
        <v>0</v>
      </c>
      <c r="N178" s="33">
        <v>0</v>
      </c>
      <c r="O178" s="33">
        <v>0</v>
      </c>
      <c r="P178" s="33">
        <v>0</v>
      </c>
      <c r="Q178" s="33">
        <v>2194</v>
      </c>
      <c r="R178" s="33">
        <v>3757</v>
      </c>
      <c r="S178" s="33">
        <v>0</v>
      </c>
      <c r="T178" s="33">
        <v>0</v>
      </c>
      <c r="U178" s="33">
        <v>0</v>
      </c>
      <c r="V178" s="33">
        <v>0</v>
      </c>
      <c r="W178" s="33">
        <v>44</v>
      </c>
      <c r="X178" s="13">
        <f t="shared" si="15"/>
        <v>12435</v>
      </c>
      <c r="Y178" s="13">
        <f t="shared" si="16"/>
        <v>44</v>
      </c>
      <c r="Z178" s="13">
        <f t="shared" si="17"/>
        <v>0</v>
      </c>
      <c r="AA178" s="13">
        <f t="shared" si="18"/>
        <v>200253</v>
      </c>
      <c r="AB178" s="13">
        <f t="shared" si="19"/>
        <v>17831</v>
      </c>
      <c r="AC178" s="13">
        <f t="shared" si="20"/>
        <v>89059</v>
      </c>
    </row>
    <row r="179" spans="1:29" x14ac:dyDescent="0.25">
      <c r="A179" s="32" t="s">
        <v>1</v>
      </c>
      <c r="B179" s="30">
        <v>21</v>
      </c>
      <c r="C179" s="30" t="s">
        <v>24</v>
      </c>
      <c r="D179" s="33">
        <v>0</v>
      </c>
      <c r="E179" s="33">
        <v>0</v>
      </c>
      <c r="F179" s="33">
        <v>5462</v>
      </c>
      <c r="G179" s="33">
        <v>1311</v>
      </c>
      <c r="H179" s="33">
        <v>0</v>
      </c>
      <c r="I179" s="33">
        <v>0</v>
      </c>
      <c r="J179" s="33">
        <v>23327</v>
      </c>
      <c r="K179" s="33">
        <v>0</v>
      </c>
      <c r="L179" s="33">
        <v>0</v>
      </c>
      <c r="M179" s="33">
        <v>0</v>
      </c>
      <c r="N179" s="33">
        <v>0</v>
      </c>
      <c r="O179" s="33">
        <v>1755</v>
      </c>
      <c r="P179" s="33">
        <v>0</v>
      </c>
      <c r="Q179" s="33">
        <v>1901</v>
      </c>
      <c r="R179" s="33">
        <v>4582</v>
      </c>
      <c r="S179" s="33">
        <v>0</v>
      </c>
      <c r="T179" s="33">
        <v>0</v>
      </c>
      <c r="U179" s="33">
        <v>0</v>
      </c>
      <c r="V179" s="33">
        <v>0</v>
      </c>
      <c r="W179" s="33">
        <v>2747</v>
      </c>
      <c r="X179" s="13">
        <f t="shared" si="15"/>
        <v>15011</v>
      </c>
      <c r="Y179" s="13">
        <f t="shared" si="16"/>
        <v>2747</v>
      </c>
      <c r="Z179" s="13">
        <f t="shared" si="17"/>
        <v>23327</v>
      </c>
      <c r="AA179" s="13">
        <f t="shared" si="18"/>
        <v>215264</v>
      </c>
      <c r="AB179" s="13">
        <f t="shared" si="19"/>
        <v>20578</v>
      </c>
      <c r="AC179" s="13">
        <f t="shared" si="20"/>
        <v>112386</v>
      </c>
    </row>
    <row r="180" spans="1:29" x14ac:dyDescent="0.25">
      <c r="A180" s="32" t="s">
        <v>1</v>
      </c>
      <c r="B180" s="30">
        <v>22</v>
      </c>
      <c r="C180" s="30" t="s">
        <v>25</v>
      </c>
      <c r="D180" s="33">
        <v>0</v>
      </c>
      <c r="E180" s="33">
        <v>0</v>
      </c>
      <c r="F180" s="33">
        <v>2398</v>
      </c>
      <c r="G180" s="33">
        <v>365</v>
      </c>
      <c r="H180" s="33">
        <v>0</v>
      </c>
      <c r="I180" s="33">
        <v>2051</v>
      </c>
      <c r="J180" s="33">
        <v>0</v>
      </c>
      <c r="K180" s="33">
        <v>0</v>
      </c>
      <c r="L180" s="33">
        <v>0</v>
      </c>
      <c r="M180" s="33">
        <v>143</v>
      </c>
      <c r="N180" s="33">
        <v>0</v>
      </c>
      <c r="O180" s="33">
        <v>3177</v>
      </c>
      <c r="P180" s="33">
        <v>0</v>
      </c>
      <c r="Q180" s="33">
        <v>1103</v>
      </c>
      <c r="R180" s="33">
        <v>4472</v>
      </c>
      <c r="S180" s="33">
        <v>0</v>
      </c>
      <c r="T180" s="33">
        <v>0</v>
      </c>
      <c r="U180" s="33">
        <v>0</v>
      </c>
      <c r="V180" s="33">
        <v>0</v>
      </c>
      <c r="W180" s="33">
        <v>4138</v>
      </c>
      <c r="X180" s="13">
        <f t="shared" si="15"/>
        <v>11515</v>
      </c>
      <c r="Y180" s="13">
        <f t="shared" si="16"/>
        <v>4138</v>
      </c>
      <c r="Z180" s="13">
        <f t="shared" si="17"/>
        <v>2194</v>
      </c>
      <c r="AA180" s="13">
        <f t="shared" si="18"/>
        <v>226779</v>
      </c>
      <c r="AB180" s="13">
        <f t="shared" si="19"/>
        <v>24716</v>
      </c>
      <c r="AC180" s="13">
        <f t="shared" si="20"/>
        <v>114580</v>
      </c>
    </row>
    <row r="181" spans="1:29" x14ac:dyDescent="0.25">
      <c r="A181" s="32" t="s">
        <v>1</v>
      </c>
      <c r="B181" s="30">
        <v>23</v>
      </c>
      <c r="C181" s="30" t="s">
        <v>26</v>
      </c>
      <c r="D181" s="33">
        <v>0</v>
      </c>
      <c r="E181" s="33">
        <v>0</v>
      </c>
      <c r="F181" s="33">
        <v>4932</v>
      </c>
      <c r="G181" s="33">
        <v>373</v>
      </c>
      <c r="H181" s="33">
        <v>0</v>
      </c>
      <c r="I181" s="33">
        <v>0</v>
      </c>
      <c r="J181" s="33">
        <v>0</v>
      </c>
      <c r="K181" s="33">
        <v>0</v>
      </c>
      <c r="L181" s="33">
        <v>0</v>
      </c>
      <c r="M181" s="33">
        <v>0</v>
      </c>
      <c r="N181" s="33">
        <v>0</v>
      </c>
      <c r="O181" s="33">
        <v>900</v>
      </c>
      <c r="P181" s="33">
        <v>0</v>
      </c>
      <c r="Q181" s="33">
        <v>1398</v>
      </c>
      <c r="R181" s="33">
        <v>3536</v>
      </c>
      <c r="S181" s="33">
        <v>0</v>
      </c>
      <c r="T181" s="33">
        <v>0</v>
      </c>
      <c r="U181" s="33">
        <v>0</v>
      </c>
      <c r="V181" s="33">
        <v>0</v>
      </c>
      <c r="W181" s="33">
        <v>4768</v>
      </c>
      <c r="X181" s="13">
        <f t="shared" si="15"/>
        <v>11139</v>
      </c>
      <c r="Y181" s="13">
        <f t="shared" si="16"/>
        <v>4768</v>
      </c>
      <c r="Z181" s="13">
        <f t="shared" si="17"/>
        <v>0</v>
      </c>
      <c r="AA181" s="13">
        <f t="shared" si="18"/>
        <v>237918</v>
      </c>
      <c r="AB181" s="13">
        <f t="shared" si="19"/>
        <v>29484</v>
      </c>
      <c r="AC181" s="13">
        <f t="shared" si="20"/>
        <v>114580</v>
      </c>
    </row>
    <row r="182" spans="1:29" x14ac:dyDescent="0.25">
      <c r="A182" s="32" t="s">
        <v>1</v>
      </c>
      <c r="B182" s="30">
        <v>24</v>
      </c>
      <c r="C182" s="30" t="s">
        <v>27</v>
      </c>
      <c r="D182" s="33">
        <v>0</v>
      </c>
      <c r="E182" s="33">
        <v>0</v>
      </c>
      <c r="F182" s="33">
        <v>4496</v>
      </c>
      <c r="G182" s="33">
        <v>861</v>
      </c>
      <c r="H182" s="33">
        <v>0</v>
      </c>
      <c r="I182" s="33">
        <v>0</v>
      </c>
      <c r="J182" s="33">
        <v>0</v>
      </c>
      <c r="K182" s="33">
        <v>0</v>
      </c>
      <c r="L182" s="33">
        <v>0</v>
      </c>
      <c r="M182" s="33">
        <v>0</v>
      </c>
      <c r="N182" s="33">
        <v>0</v>
      </c>
      <c r="O182" s="33">
        <v>596</v>
      </c>
      <c r="P182" s="33">
        <v>0</v>
      </c>
      <c r="Q182" s="33">
        <v>1239</v>
      </c>
      <c r="R182" s="33">
        <v>4697</v>
      </c>
      <c r="S182" s="33">
        <v>0</v>
      </c>
      <c r="T182" s="33">
        <v>0</v>
      </c>
      <c r="U182" s="33">
        <v>0</v>
      </c>
      <c r="V182" s="33">
        <v>0</v>
      </c>
      <c r="W182" s="33">
        <v>8160</v>
      </c>
      <c r="X182" s="13">
        <f t="shared" si="15"/>
        <v>11889</v>
      </c>
      <c r="Y182" s="13">
        <f t="shared" si="16"/>
        <v>8160</v>
      </c>
      <c r="Z182" s="13">
        <f t="shared" si="17"/>
        <v>0</v>
      </c>
      <c r="AA182" s="13">
        <f t="shared" si="18"/>
        <v>249807</v>
      </c>
      <c r="AB182" s="13">
        <f t="shared" si="19"/>
        <v>37644</v>
      </c>
      <c r="AC182" s="13">
        <f t="shared" si="20"/>
        <v>114580</v>
      </c>
    </row>
    <row r="183" spans="1:29" x14ac:dyDescent="0.25">
      <c r="A183" s="32" t="s">
        <v>1</v>
      </c>
      <c r="B183" s="30">
        <v>25</v>
      </c>
      <c r="C183" s="30" t="s">
        <v>28</v>
      </c>
      <c r="D183" s="33">
        <v>0</v>
      </c>
      <c r="E183" s="33">
        <v>0</v>
      </c>
      <c r="F183" s="33">
        <v>6852</v>
      </c>
      <c r="G183" s="33">
        <v>1822</v>
      </c>
      <c r="H183" s="33">
        <v>0</v>
      </c>
      <c r="I183" s="33">
        <v>0</v>
      </c>
      <c r="J183" s="33">
        <v>0</v>
      </c>
      <c r="K183" s="33">
        <v>0</v>
      </c>
      <c r="L183" s="33">
        <v>0</v>
      </c>
      <c r="M183" s="33">
        <v>0</v>
      </c>
      <c r="N183" s="33">
        <v>0</v>
      </c>
      <c r="O183" s="33">
        <v>618</v>
      </c>
      <c r="P183" s="33">
        <v>0</v>
      </c>
      <c r="Q183" s="33">
        <v>1029</v>
      </c>
      <c r="R183" s="33">
        <v>4522</v>
      </c>
      <c r="S183" s="33">
        <v>0</v>
      </c>
      <c r="T183" s="33">
        <v>0</v>
      </c>
      <c r="U183" s="33">
        <v>0</v>
      </c>
      <c r="V183" s="33">
        <v>0</v>
      </c>
      <c r="W183" s="33">
        <v>6610</v>
      </c>
      <c r="X183" s="13">
        <f t="shared" si="15"/>
        <v>14843</v>
      </c>
      <c r="Y183" s="13">
        <f t="shared" si="16"/>
        <v>6610</v>
      </c>
      <c r="Z183" s="13">
        <f t="shared" si="17"/>
        <v>0</v>
      </c>
      <c r="AA183" s="13">
        <f t="shared" si="18"/>
        <v>264650</v>
      </c>
      <c r="AB183" s="13">
        <f t="shared" si="19"/>
        <v>44254</v>
      </c>
      <c r="AC183" s="13">
        <f t="shared" si="20"/>
        <v>114580</v>
      </c>
    </row>
    <row r="184" spans="1:29" x14ac:dyDescent="0.25">
      <c r="A184" s="32" t="s">
        <v>1</v>
      </c>
      <c r="B184" s="30">
        <v>26</v>
      </c>
      <c r="C184" s="30" t="s">
        <v>29</v>
      </c>
      <c r="D184" s="33">
        <v>0</v>
      </c>
      <c r="E184" s="33">
        <v>0</v>
      </c>
      <c r="F184" s="33">
        <v>5161</v>
      </c>
      <c r="G184" s="33">
        <v>1432</v>
      </c>
      <c r="H184" s="33">
        <v>0</v>
      </c>
      <c r="I184" s="33">
        <v>0</v>
      </c>
      <c r="J184" s="33">
        <v>0</v>
      </c>
      <c r="K184" s="33">
        <v>0</v>
      </c>
      <c r="L184" s="33">
        <v>0</v>
      </c>
      <c r="M184" s="33">
        <v>0</v>
      </c>
      <c r="N184" s="33">
        <v>0</v>
      </c>
      <c r="O184" s="33">
        <v>3720</v>
      </c>
      <c r="P184" s="33">
        <v>0</v>
      </c>
      <c r="Q184" s="33">
        <v>1466</v>
      </c>
      <c r="R184" s="33">
        <v>4153</v>
      </c>
      <c r="S184" s="33">
        <v>0</v>
      </c>
      <c r="T184" s="33">
        <v>0</v>
      </c>
      <c r="U184" s="33">
        <v>0</v>
      </c>
      <c r="V184" s="33">
        <v>0</v>
      </c>
      <c r="W184" s="33">
        <v>9523</v>
      </c>
      <c r="X184" s="13">
        <f t="shared" si="15"/>
        <v>15932</v>
      </c>
      <c r="Y184" s="13">
        <f t="shared" si="16"/>
        <v>9523</v>
      </c>
      <c r="Z184" s="13">
        <f t="shared" si="17"/>
        <v>0</v>
      </c>
      <c r="AA184" s="13">
        <f t="shared" si="18"/>
        <v>280582</v>
      </c>
      <c r="AB184" s="13">
        <f t="shared" si="19"/>
        <v>53777</v>
      </c>
      <c r="AC184" s="13">
        <f t="shared" si="20"/>
        <v>114580</v>
      </c>
    </row>
    <row r="185" spans="1:29" x14ac:dyDescent="0.25">
      <c r="A185" s="32" t="s">
        <v>1</v>
      </c>
      <c r="B185" s="30">
        <v>27</v>
      </c>
      <c r="C185" s="30" t="s">
        <v>30</v>
      </c>
      <c r="D185" s="33">
        <v>0</v>
      </c>
      <c r="E185" s="33">
        <v>0</v>
      </c>
      <c r="F185" s="33">
        <v>3598</v>
      </c>
      <c r="G185" s="33">
        <v>1056</v>
      </c>
      <c r="H185" s="33">
        <v>0</v>
      </c>
      <c r="I185" s="33">
        <v>0</v>
      </c>
      <c r="J185" s="33">
        <v>0</v>
      </c>
      <c r="K185" s="33">
        <v>0</v>
      </c>
      <c r="L185" s="33">
        <v>0</v>
      </c>
      <c r="M185" s="33">
        <v>0</v>
      </c>
      <c r="N185" s="33">
        <v>0</v>
      </c>
      <c r="O185" s="33">
        <v>635</v>
      </c>
      <c r="P185" s="33">
        <v>0</v>
      </c>
      <c r="Q185" s="33">
        <v>1434</v>
      </c>
      <c r="R185" s="33">
        <v>4571</v>
      </c>
      <c r="S185" s="33">
        <v>0</v>
      </c>
      <c r="T185" s="33">
        <v>0</v>
      </c>
      <c r="U185" s="33">
        <v>0</v>
      </c>
      <c r="V185" s="33">
        <v>0</v>
      </c>
      <c r="W185" s="33">
        <v>7775</v>
      </c>
      <c r="X185" s="13">
        <f t="shared" si="15"/>
        <v>11294</v>
      </c>
      <c r="Y185" s="13">
        <f t="shared" si="16"/>
        <v>7775</v>
      </c>
      <c r="Z185" s="13">
        <f t="shared" si="17"/>
        <v>0</v>
      </c>
      <c r="AA185" s="13">
        <f t="shared" si="18"/>
        <v>291876</v>
      </c>
      <c r="AB185" s="13">
        <f t="shared" si="19"/>
        <v>61552</v>
      </c>
      <c r="AC185" s="13">
        <f t="shared" si="20"/>
        <v>114580</v>
      </c>
    </row>
    <row r="186" spans="1:29" x14ac:dyDescent="0.25">
      <c r="A186" s="32" t="s">
        <v>1</v>
      </c>
      <c r="B186" s="30">
        <v>28</v>
      </c>
      <c r="C186" s="30" t="s">
        <v>31</v>
      </c>
      <c r="D186" s="33">
        <v>0</v>
      </c>
      <c r="E186" s="33">
        <v>0</v>
      </c>
      <c r="F186" s="33">
        <v>4239</v>
      </c>
      <c r="G186" s="33">
        <v>826</v>
      </c>
      <c r="H186" s="33">
        <v>0</v>
      </c>
      <c r="I186" s="33">
        <v>0</v>
      </c>
      <c r="J186" s="33">
        <v>0</v>
      </c>
      <c r="K186" s="33">
        <v>0</v>
      </c>
      <c r="L186" s="33">
        <v>0</v>
      </c>
      <c r="M186" s="33">
        <v>0</v>
      </c>
      <c r="N186" s="33">
        <v>0</v>
      </c>
      <c r="O186" s="33">
        <v>1129</v>
      </c>
      <c r="P186" s="33">
        <v>0</v>
      </c>
      <c r="Q186" s="33">
        <v>1152</v>
      </c>
      <c r="R186" s="33">
        <v>4174</v>
      </c>
      <c r="S186" s="33">
        <v>0</v>
      </c>
      <c r="T186" s="33">
        <v>0</v>
      </c>
      <c r="U186" s="33">
        <v>0</v>
      </c>
      <c r="V186" s="33">
        <v>0</v>
      </c>
      <c r="W186" s="33">
        <v>7848</v>
      </c>
      <c r="X186" s="13">
        <f t="shared" si="15"/>
        <v>11520</v>
      </c>
      <c r="Y186" s="13">
        <f t="shared" si="16"/>
        <v>7848</v>
      </c>
      <c r="Z186" s="13">
        <f t="shared" si="17"/>
        <v>0</v>
      </c>
      <c r="AA186" s="13">
        <f t="shared" si="18"/>
        <v>303396</v>
      </c>
      <c r="AB186" s="13">
        <f t="shared" si="19"/>
        <v>69400</v>
      </c>
      <c r="AC186" s="13">
        <f t="shared" si="20"/>
        <v>114580</v>
      </c>
    </row>
    <row r="187" spans="1:29" x14ac:dyDescent="0.25">
      <c r="A187" s="32" t="s">
        <v>1</v>
      </c>
      <c r="B187" s="30">
        <v>29</v>
      </c>
      <c r="C187" s="30" t="s">
        <v>32</v>
      </c>
      <c r="D187" s="33">
        <v>0</v>
      </c>
      <c r="E187" s="33">
        <v>0</v>
      </c>
      <c r="F187" s="33">
        <v>6170</v>
      </c>
      <c r="G187" s="33">
        <v>1581</v>
      </c>
      <c r="H187" s="33">
        <v>0</v>
      </c>
      <c r="I187" s="33">
        <v>0</v>
      </c>
      <c r="J187" s="33">
        <v>0</v>
      </c>
      <c r="K187" s="33">
        <v>0</v>
      </c>
      <c r="L187" s="33">
        <v>0</v>
      </c>
      <c r="M187" s="33">
        <v>0</v>
      </c>
      <c r="N187" s="33">
        <v>0</v>
      </c>
      <c r="O187" s="33">
        <v>1104</v>
      </c>
      <c r="P187" s="33">
        <v>0</v>
      </c>
      <c r="Q187" s="33">
        <v>1059</v>
      </c>
      <c r="R187" s="33">
        <v>4555</v>
      </c>
      <c r="S187" s="33">
        <v>0</v>
      </c>
      <c r="T187" s="33">
        <v>0</v>
      </c>
      <c r="U187" s="33">
        <v>0</v>
      </c>
      <c r="V187" s="33">
        <v>0</v>
      </c>
      <c r="W187" s="33">
        <v>9114</v>
      </c>
      <c r="X187" s="13">
        <f t="shared" si="15"/>
        <v>14469</v>
      </c>
      <c r="Y187" s="13">
        <f t="shared" si="16"/>
        <v>9114</v>
      </c>
      <c r="Z187" s="13">
        <f t="shared" si="17"/>
        <v>0</v>
      </c>
      <c r="AA187" s="13">
        <f t="shared" si="18"/>
        <v>317865</v>
      </c>
      <c r="AB187" s="13">
        <f t="shared" si="19"/>
        <v>78514</v>
      </c>
      <c r="AC187" s="13">
        <f t="shared" si="20"/>
        <v>114580</v>
      </c>
    </row>
    <row r="188" spans="1:29" x14ac:dyDescent="0.25">
      <c r="A188" s="32" t="s">
        <v>1</v>
      </c>
      <c r="B188" s="30">
        <v>30</v>
      </c>
      <c r="C188" s="30" t="s">
        <v>33</v>
      </c>
      <c r="D188" s="33">
        <v>0</v>
      </c>
      <c r="E188" s="33">
        <v>0</v>
      </c>
      <c r="F188" s="33">
        <v>4403</v>
      </c>
      <c r="G188" s="33">
        <v>2573</v>
      </c>
      <c r="H188" s="33">
        <v>0</v>
      </c>
      <c r="I188" s="33">
        <v>0</v>
      </c>
      <c r="J188" s="33">
        <v>0</v>
      </c>
      <c r="K188" s="33">
        <v>0</v>
      </c>
      <c r="L188" s="33">
        <v>0</v>
      </c>
      <c r="M188" s="33">
        <v>0</v>
      </c>
      <c r="N188" s="33">
        <v>0</v>
      </c>
      <c r="O188" s="33">
        <v>6723</v>
      </c>
      <c r="P188" s="33">
        <v>0</v>
      </c>
      <c r="Q188" s="33">
        <v>1622</v>
      </c>
      <c r="R188" s="33">
        <v>5956</v>
      </c>
      <c r="S188" s="33">
        <v>0</v>
      </c>
      <c r="T188" s="33">
        <v>0</v>
      </c>
      <c r="U188" s="33">
        <v>0</v>
      </c>
      <c r="V188" s="33">
        <v>0</v>
      </c>
      <c r="W188" s="33">
        <v>8497</v>
      </c>
      <c r="X188" s="13">
        <f t="shared" si="15"/>
        <v>21277</v>
      </c>
      <c r="Y188" s="13">
        <f t="shared" si="16"/>
        <v>8497</v>
      </c>
      <c r="Z188" s="13">
        <f t="shared" si="17"/>
        <v>0</v>
      </c>
      <c r="AA188" s="13">
        <f t="shared" si="18"/>
        <v>339142</v>
      </c>
      <c r="AB188" s="13">
        <f t="shared" si="19"/>
        <v>87011</v>
      </c>
      <c r="AC188" s="13">
        <f t="shared" si="20"/>
        <v>114580</v>
      </c>
    </row>
    <row r="189" spans="1:29" x14ac:dyDescent="0.25">
      <c r="A189" s="32" t="s">
        <v>1</v>
      </c>
      <c r="B189" s="30">
        <v>31</v>
      </c>
      <c r="C189" s="30" t="s">
        <v>34</v>
      </c>
      <c r="D189" s="33">
        <v>0</v>
      </c>
      <c r="E189" s="33">
        <v>0</v>
      </c>
      <c r="F189" s="33">
        <v>3291</v>
      </c>
      <c r="G189" s="33">
        <v>2006</v>
      </c>
      <c r="H189" s="33">
        <v>0</v>
      </c>
      <c r="I189" s="33">
        <v>0</v>
      </c>
      <c r="J189" s="33">
        <v>0</v>
      </c>
      <c r="K189" s="33">
        <v>0</v>
      </c>
      <c r="L189" s="33">
        <v>0</v>
      </c>
      <c r="M189" s="33">
        <v>0</v>
      </c>
      <c r="N189" s="33">
        <v>0</v>
      </c>
      <c r="O189" s="33">
        <v>1807</v>
      </c>
      <c r="P189" s="33">
        <v>0</v>
      </c>
      <c r="Q189" s="33">
        <v>2051</v>
      </c>
      <c r="R189" s="33">
        <v>5626</v>
      </c>
      <c r="S189" s="33">
        <v>0</v>
      </c>
      <c r="T189" s="33">
        <v>0</v>
      </c>
      <c r="U189" s="33">
        <v>0</v>
      </c>
      <c r="V189" s="33">
        <v>0</v>
      </c>
      <c r="W189" s="33">
        <v>8487</v>
      </c>
      <c r="X189" s="13">
        <f t="shared" si="15"/>
        <v>14781</v>
      </c>
      <c r="Y189" s="13">
        <f t="shared" si="16"/>
        <v>8487</v>
      </c>
      <c r="Z189" s="13">
        <f t="shared" si="17"/>
        <v>0</v>
      </c>
      <c r="AA189" s="13">
        <f t="shared" si="18"/>
        <v>353923</v>
      </c>
      <c r="AB189" s="13">
        <f t="shared" si="19"/>
        <v>95498</v>
      </c>
      <c r="AC189" s="13">
        <f t="shared" si="20"/>
        <v>114580</v>
      </c>
    </row>
    <row r="190" spans="1:29" x14ac:dyDescent="0.25">
      <c r="A190" s="32" t="s">
        <v>1</v>
      </c>
      <c r="B190" s="30">
        <v>32</v>
      </c>
      <c r="C190" s="30" t="s">
        <v>35</v>
      </c>
      <c r="D190" s="33">
        <v>0</v>
      </c>
      <c r="E190" s="33">
        <v>0</v>
      </c>
      <c r="F190" s="33">
        <v>3665</v>
      </c>
      <c r="G190" s="33">
        <v>1692</v>
      </c>
      <c r="H190" s="33">
        <v>0</v>
      </c>
      <c r="I190" s="33">
        <v>0</v>
      </c>
      <c r="J190" s="33">
        <v>0</v>
      </c>
      <c r="K190" s="33">
        <v>0</v>
      </c>
      <c r="L190" s="33">
        <v>0</v>
      </c>
      <c r="M190" s="33">
        <v>0</v>
      </c>
      <c r="N190" s="33">
        <v>0</v>
      </c>
      <c r="O190" s="33">
        <v>1028</v>
      </c>
      <c r="P190" s="33">
        <v>0</v>
      </c>
      <c r="Q190" s="33">
        <v>1967</v>
      </c>
      <c r="R190" s="33">
        <v>6264</v>
      </c>
      <c r="S190" s="33">
        <v>0</v>
      </c>
      <c r="T190" s="33">
        <v>0</v>
      </c>
      <c r="U190" s="33">
        <v>0</v>
      </c>
      <c r="V190" s="33">
        <v>0</v>
      </c>
      <c r="W190" s="33">
        <v>8681</v>
      </c>
      <c r="X190" s="13">
        <f t="shared" si="15"/>
        <v>14616</v>
      </c>
      <c r="Y190" s="13">
        <f t="shared" si="16"/>
        <v>8681</v>
      </c>
      <c r="Z190" s="13">
        <f t="shared" si="17"/>
        <v>0</v>
      </c>
      <c r="AA190" s="13">
        <f t="shared" si="18"/>
        <v>368539</v>
      </c>
      <c r="AB190" s="13">
        <f t="shared" si="19"/>
        <v>104179</v>
      </c>
      <c r="AC190" s="13">
        <f t="shared" si="20"/>
        <v>114580</v>
      </c>
    </row>
    <row r="191" spans="1:29" x14ac:dyDescent="0.25">
      <c r="A191" s="32" t="s">
        <v>1</v>
      </c>
      <c r="B191" s="30">
        <v>33</v>
      </c>
      <c r="C191" s="30" t="s">
        <v>36</v>
      </c>
      <c r="D191" s="33">
        <v>0</v>
      </c>
      <c r="E191" s="33">
        <v>0</v>
      </c>
      <c r="F191" s="33">
        <v>3894</v>
      </c>
      <c r="G191" s="33">
        <v>1230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2474</v>
      </c>
      <c r="R191" s="33">
        <v>5153</v>
      </c>
      <c r="S191" s="33">
        <v>0</v>
      </c>
      <c r="T191" s="33">
        <v>0</v>
      </c>
      <c r="U191" s="33">
        <v>0</v>
      </c>
      <c r="V191" s="33">
        <v>0</v>
      </c>
      <c r="W191" s="33">
        <v>6612</v>
      </c>
      <c r="X191" s="13">
        <f t="shared" si="15"/>
        <v>12751</v>
      </c>
      <c r="Y191" s="13">
        <f t="shared" si="16"/>
        <v>6612</v>
      </c>
      <c r="Z191" s="13">
        <f t="shared" si="17"/>
        <v>0</v>
      </c>
      <c r="AA191" s="13">
        <f t="shared" si="18"/>
        <v>381290</v>
      </c>
      <c r="AB191" s="13">
        <f t="shared" si="19"/>
        <v>110791</v>
      </c>
      <c r="AC191" s="13">
        <f t="shared" si="20"/>
        <v>114580</v>
      </c>
    </row>
    <row r="192" spans="1:29" x14ac:dyDescent="0.25">
      <c r="A192" s="32" t="s">
        <v>1</v>
      </c>
      <c r="B192" s="30">
        <v>34</v>
      </c>
      <c r="C192" s="30" t="s">
        <v>37</v>
      </c>
      <c r="D192" s="33">
        <v>0</v>
      </c>
      <c r="E192" s="33">
        <v>0</v>
      </c>
      <c r="F192" s="33">
        <v>3715</v>
      </c>
      <c r="G192" s="33">
        <v>1006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2924</v>
      </c>
      <c r="R192" s="33">
        <v>4066</v>
      </c>
      <c r="S192" s="33">
        <v>0</v>
      </c>
      <c r="T192" s="33">
        <v>0</v>
      </c>
      <c r="U192" s="33">
        <v>0</v>
      </c>
      <c r="V192" s="33">
        <v>0</v>
      </c>
      <c r="W192" s="33">
        <v>9734</v>
      </c>
      <c r="X192" s="13">
        <f t="shared" si="15"/>
        <v>11711</v>
      </c>
      <c r="Y192" s="13">
        <f t="shared" si="16"/>
        <v>9734</v>
      </c>
      <c r="Z192" s="13">
        <f t="shared" si="17"/>
        <v>0</v>
      </c>
      <c r="AA192" s="13">
        <f t="shared" si="18"/>
        <v>393001</v>
      </c>
      <c r="AB192" s="13">
        <f t="shared" si="19"/>
        <v>120525</v>
      </c>
      <c r="AC192" s="13">
        <f t="shared" si="20"/>
        <v>114580</v>
      </c>
    </row>
    <row r="193" spans="1:29" x14ac:dyDescent="0.25">
      <c r="A193" s="32" t="s">
        <v>1</v>
      </c>
      <c r="B193" s="30">
        <v>35</v>
      </c>
      <c r="C193" s="30" t="s">
        <v>38</v>
      </c>
      <c r="D193" s="33">
        <v>0</v>
      </c>
      <c r="E193" s="33">
        <v>0</v>
      </c>
      <c r="F193" s="33">
        <v>1949</v>
      </c>
      <c r="G193" s="33">
        <v>617</v>
      </c>
      <c r="H193" s="33">
        <v>0</v>
      </c>
      <c r="I193" s="33">
        <v>0</v>
      </c>
      <c r="J193" s="33">
        <v>0</v>
      </c>
      <c r="K193" s="33">
        <v>0</v>
      </c>
      <c r="L193" s="33">
        <v>0</v>
      </c>
      <c r="M193" s="33">
        <v>0</v>
      </c>
      <c r="N193" s="33">
        <v>0</v>
      </c>
      <c r="O193" s="33">
        <v>3173</v>
      </c>
      <c r="P193" s="33">
        <v>0</v>
      </c>
      <c r="Q193" s="33">
        <v>23184</v>
      </c>
      <c r="R193" s="33">
        <v>696</v>
      </c>
      <c r="S193" s="33">
        <v>0</v>
      </c>
      <c r="T193" s="33">
        <v>0</v>
      </c>
      <c r="U193" s="33">
        <v>0</v>
      </c>
      <c r="V193" s="33">
        <v>0</v>
      </c>
      <c r="W193" s="33">
        <v>9034</v>
      </c>
      <c r="X193" s="13">
        <f t="shared" si="15"/>
        <v>29619</v>
      </c>
      <c r="Y193" s="13">
        <f t="shared" si="16"/>
        <v>9034</v>
      </c>
      <c r="Z193" s="13">
        <f t="shared" si="17"/>
        <v>0</v>
      </c>
      <c r="AA193" s="13">
        <f t="shared" si="18"/>
        <v>422620</v>
      </c>
      <c r="AB193" s="13">
        <f t="shared" si="19"/>
        <v>129559</v>
      </c>
      <c r="AC193" s="13">
        <f t="shared" si="20"/>
        <v>114580</v>
      </c>
    </row>
    <row r="194" spans="1:29" x14ac:dyDescent="0.25">
      <c r="A194" s="32" t="s">
        <v>1</v>
      </c>
      <c r="B194" s="30">
        <v>36</v>
      </c>
      <c r="C194" s="30" t="s">
        <v>39</v>
      </c>
      <c r="D194" s="33">
        <v>0</v>
      </c>
      <c r="E194" s="33">
        <v>0</v>
      </c>
      <c r="F194" s="33">
        <v>3851</v>
      </c>
      <c r="G194" s="33">
        <v>873</v>
      </c>
      <c r="H194" s="33">
        <v>0</v>
      </c>
      <c r="I194" s="33">
        <v>0</v>
      </c>
      <c r="J194" s="33">
        <v>0</v>
      </c>
      <c r="K194" s="33">
        <v>0</v>
      </c>
      <c r="L194" s="33">
        <v>0</v>
      </c>
      <c r="M194" s="33">
        <v>0</v>
      </c>
      <c r="N194" s="33">
        <v>0</v>
      </c>
      <c r="O194" s="33">
        <v>0</v>
      </c>
      <c r="P194" s="33">
        <v>0</v>
      </c>
      <c r="Q194" s="33">
        <v>1075</v>
      </c>
      <c r="R194" s="33">
        <v>3624</v>
      </c>
      <c r="S194" s="33">
        <v>0</v>
      </c>
      <c r="T194" s="33">
        <v>0</v>
      </c>
      <c r="U194" s="33">
        <v>0</v>
      </c>
      <c r="V194" s="33">
        <v>0</v>
      </c>
      <c r="W194" s="33">
        <v>10391</v>
      </c>
      <c r="X194" s="13">
        <f t="shared" ref="X194:X257" si="21">F194+G194+O194+Q194+R194</f>
        <v>9423</v>
      </c>
      <c r="Y194" s="13">
        <f t="shared" ref="Y194:Y257" si="22">W194</f>
        <v>10391</v>
      </c>
      <c r="Z194" s="13">
        <f t="shared" ref="Z194:Z257" si="23">SUM(D194:W194)-X194-Y194</f>
        <v>0</v>
      </c>
      <c r="AA194" s="13">
        <f t="shared" si="18"/>
        <v>432043</v>
      </c>
      <c r="AB194" s="13">
        <f t="shared" si="19"/>
        <v>139950</v>
      </c>
      <c r="AC194" s="13">
        <f t="shared" si="20"/>
        <v>114580</v>
      </c>
    </row>
    <row r="195" spans="1:29" x14ac:dyDescent="0.25">
      <c r="A195" s="32" t="s">
        <v>1</v>
      </c>
      <c r="B195" s="30">
        <v>37</v>
      </c>
      <c r="C195" s="30" t="s">
        <v>40</v>
      </c>
      <c r="D195" s="33">
        <v>0</v>
      </c>
      <c r="E195" s="33">
        <v>0</v>
      </c>
      <c r="F195" s="33">
        <v>6328</v>
      </c>
      <c r="G195" s="33">
        <v>3019</v>
      </c>
      <c r="H195" s="33">
        <v>0</v>
      </c>
      <c r="I195" s="33">
        <v>0</v>
      </c>
      <c r="J195" s="33">
        <v>0</v>
      </c>
      <c r="K195" s="33">
        <v>0</v>
      </c>
      <c r="L195" s="33">
        <v>0</v>
      </c>
      <c r="M195" s="33">
        <v>0</v>
      </c>
      <c r="N195" s="33">
        <v>0</v>
      </c>
      <c r="O195" s="33">
        <v>757</v>
      </c>
      <c r="P195" s="33">
        <v>0</v>
      </c>
      <c r="Q195" s="33">
        <v>1584</v>
      </c>
      <c r="R195" s="33">
        <v>5776</v>
      </c>
      <c r="S195" s="33">
        <v>0</v>
      </c>
      <c r="T195" s="33">
        <v>0</v>
      </c>
      <c r="U195" s="33">
        <v>0</v>
      </c>
      <c r="V195" s="33">
        <v>0</v>
      </c>
      <c r="W195" s="33">
        <v>15464</v>
      </c>
      <c r="X195" s="13">
        <f t="shared" si="21"/>
        <v>17464</v>
      </c>
      <c r="Y195" s="13">
        <f t="shared" si="22"/>
        <v>15464</v>
      </c>
      <c r="Z195" s="13">
        <f t="shared" si="23"/>
        <v>0</v>
      </c>
      <c r="AA195" s="13">
        <f t="shared" si="18"/>
        <v>449507</v>
      </c>
      <c r="AB195" s="13">
        <f t="shared" si="19"/>
        <v>155414</v>
      </c>
      <c r="AC195" s="13">
        <f t="shared" si="20"/>
        <v>114580</v>
      </c>
    </row>
    <row r="196" spans="1:29" x14ac:dyDescent="0.25">
      <c r="A196" s="32" t="s">
        <v>1</v>
      </c>
      <c r="B196" s="30">
        <v>38</v>
      </c>
      <c r="C196" s="30" t="s">
        <v>41</v>
      </c>
      <c r="D196" s="33">
        <v>0</v>
      </c>
      <c r="E196" s="33">
        <v>0</v>
      </c>
      <c r="F196" s="33">
        <v>5401</v>
      </c>
      <c r="G196" s="33">
        <v>2863</v>
      </c>
      <c r="H196" s="33">
        <v>0</v>
      </c>
      <c r="I196" s="33">
        <v>0</v>
      </c>
      <c r="J196" s="33">
        <v>0</v>
      </c>
      <c r="K196" s="33">
        <v>0</v>
      </c>
      <c r="L196" s="33">
        <v>0</v>
      </c>
      <c r="M196" s="33">
        <v>0</v>
      </c>
      <c r="N196" s="33">
        <v>0</v>
      </c>
      <c r="O196" s="33">
        <v>0</v>
      </c>
      <c r="P196" s="33">
        <v>0</v>
      </c>
      <c r="Q196" s="33">
        <v>1926</v>
      </c>
      <c r="R196" s="33">
        <v>5663</v>
      </c>
      <c r="S196" s="33">
        <v>0</v>
      </c>
      <c r="T196" s="33">
        <v>0</v>
      </c>
      <c r="U196" s="33">
        <v>0</v>
      </c>
      <c r="V196" s="33">
        <v>0</v>
      </c>
      <c r="W196" s="33">
        <v>21399</v>
      </c>
      <c r="X196" s="13">
        <f t="shared" si="21"/>
        <v>15853</v>
      </c>
      <c r="Y196" s="13">
        <f t="shared" si="22"/>
        <v>21399</v>
      </c>
      <c r="Z196" s="13">
        <f t="shared" si="23"/>
        <v>0</v>
      </c>
      <c r="AA196" s="13">
        <f t="shared" si="18"/>
        <v>465360</v>
      </c>
      <c r="AB196" s="13">
        <f t="shared" si="19"/>
        <v>176813</v>
      </c>
      <c r="AC196" s="13">
        <f t="shared" si="20"/>
        <v>114580</v>
      </c>
    </row>
    <row r="197" spans="1:29" x14ac:dyDescent="0.25">
      <c r="A197" s="32" t="s">
        <v>1</v>
      </c>
      <c r="B197" s="30">
        <v>39</v>
      </c>
      <c r="C197" s="30" t="s">
        <v>42</v>
      </c>
      <c r="D197" s="33">
        <v>0</v>
      </c>
      <c r="E197" s="33">
        <v>0</v>
      </c>
      <c r="F197" s="33">
        <v>5921</v>
      </c>
      <c r="G197" s="33">
        <v>1868</v>
      </c>
      <c r="H197" s="33">
        <v>0</v>
      </c>
      <c r="I197" s="33">
        <v>0</v>
      </c>
      <c r="J197" s="33">
        <v>0</v>
      </c>
      <c r="K197" s="33">
        <v>0</v>
      </c>
      <c r="L197" s="33">
        <v>0</v>
      </c>
      <c r="M197" s="33">
        <v>0</v>
      </c>
      <c r="N197" s="33">
        <v>0</v>
      </c>
      <c r="O197" s="33">
        <v>2771</v>
      </c>
      <c r="P197" s="33">
        <v>0</v>
      </c>
      <c r="Q197" s="33">
        <v>4990</v>
      </c>
      <c r="R197" s="33">
        <v>5269</v>
      </c>
      <c r="S197" s="33">
        <v>0</v>
      </c>
      <c r="T197" s="33">
        <v>0</v>
      </c>
      <c r="U197" s="33">
        <v>0</v>
      </c>
      <c r="V197" s="33">
        <v>0</v>
      </c>
      <c r="W197" s="33">
        <v>23036</v>
      </c>
      <c r="X197" s="13">
        <f t="shared" si="21"/>
        <v>20819</v>
      </c>
      <c r="Y197" s="13">
        <f t="shared" si="22"/>
        <v>23036</v>
      </c>
      <c r="Z197" s="13">
        <f t="shared" si="23"/>
        <v>0</v>
      </c>
      <c r="AA197" s="13">
        <f t="shared" si="18"/>
        <v>486179</v>
      </c>
      <c r="AB197" s="13">
        <f t="shared" si="19"/>
        <v>199849</v>
      </c>
      <c r="AC197" s="13">
        <f t="shared" si="20"/>
        <v>114580</v>
      </c>
    </row>
    <row r="198" spans="1:29" x14ac:dyDescent="0.25">
      <c r="A198" s="32" t="s">
        <v>1</v>
      </c>
      <c r="B198" s="30">
        <v>40</v>
      </c>
      <c r="C198" s="30" t="s">
        <v>43</v>
      </c>
      <c r="D198" s="33">
        <v>0</v>
      </c>
      <c r="E198" s="33">
        <v>0</v>
      </c>
      <c r="F198" s="33">
        <v>5055</v>
      </c>
      <c r="G198" s="33">
        <v>2229</v>
      </c>
      <c r="H198" s="33">
        <v>0</v>
      </c>
      <c r="I198" s="33">
        <v>0</v>
      </c>
      <c r="J198" s="33">
        <v>0</v>
      </c>
      <c r="K198" s="33">
        <v>0</v>
      </c>
      <c r="L198" s="33">
        <v>0</v>
      </c>
      <c r="M198" s="33">
        <v>0</v>
      </c>
      <c r="N198" s="33">
        <v>0</v>
      </c>
      <c r="O198" s="33">
        <v>0</v>
      </c>
      <c r="P198" s="33">
        <v>0</v>
      </c>
      <c r="Q198" s="33">
        <v>20934</v>
      </c>
      <c r="R198" s="33">
        <v>5507</v>
      </c>
      <c r="S198" s="33">
        <v>0</v>
      </c>
      <c r="T198" s="33">
        <v>0</v>
      </c>
      <c r="U198" s="33">
        <v>0</v>
      </c>
      <c r="V198" s="33">
        <v>0</v>
      </c>
      <c r="W198" s="33">
        <v>23479</v>
      </c>
      <c r="X198" s="13">
        <f t="shared" si="21"/>
        <v>33725</v>
      </c>
      <c r="Y198" s="13">
        <f t="shared" si="22"/>
        <v>23479</v>
      </c>
      <c r="Z198" s="13">
        <f t="shared" si="23"/>
        <v>0</v>
      </c>
      <c r="AA198" s="13">
        <f t="shared" si="18"/>
        <v>519904</v>
      </c>
      <c r="AB198" s="13">
        <f t="shared" si="19"/>
        <v>223328</v>
      </c>
      <c r="AC198" s="13">
        <f t="shared" si="20"/>
        <v>114580</v>
      </c>
    </row>
    <row r="199" spans="1:29" x14ac:dyDescent="0.25">
      <c r="A199" s="32" t="s">
        <v>1</v>
      </c>
      <c r="B199" s="30">
        <v>41</v>
      </c>
      <c r="C199" s="30" t="s">
        <v>44</v>
      </c>
      <c r="D199" s="33">
        <v>0</v>
      </c>
      <c r="E199" s="33">
        <v>0</v>
      </c>
      <c r="F199" s="33">
        <v>4861</v>
      </c>
      <c r="G199" s="33">
        <v>2097</v>
      </c>
      <c r="H199" s="33">
        <v>0</v>
      </c>
      <c r="I199" s="33">
        <v>0</v>
      </c>
      <c r="J199" s="33">
        <v>0</v>
      </c>
      <c r="K199" s="33">
        <v>0</v>
      </c>
      <c r="L199" s="33">
        <v>0</v>
      </c>
      <c r="M199" s="33">
        <v>0</v>
      </c>
      <c r="N199" s="33">
        <v>0</v>
      </c>
      <c r="O199" s="33">
        <v>0</v>
      </c>
      <c r="P199" s="33">
        <v>0</v>
      </c>
      <c r="Q199" s="33">
        <v>2397</v>
      </c>
      <c r="R199" s="33">
        <v>5207</v>
      </c>
      <c r="S199" s="33">
        <v>0</v>
      </c>
      <c r="T199" s="33">
        <v>0</v>
      </c>
      <c r="U199" s="33">
        <v>0</v>
      </c>
      <c r="V199" s="33">
        <v>0</v>
      </c>
      <c r="W199" s="33">
        <v>21554</v>
      </c>
      <c r="X199" s="13">
        <f t="shared" si="21"/>
        <v>14562</v>
      </c>
      <c r="Y199" s="13">
        <f t="shared" si="22"/>
        <v>21554</v>
      </c>
      <c r="Z199" s="13">
        <f t="shared" si="23"/>
        <v>0</v>
      </c>
      <c r="AA199" s="13">
        <f t="shared" si="18"/>
        <v>534466</v>
      </c>
      <c r="AB199" s="13">
        <f t="shared" si="19"/>
        <v>244882</v>
      </c>
      <c r="AC199" s="13">
        <f t="shared" si="20"/>
        <v>114580</v>
      </c>
    </row>
    <row r="200" spans="1:29" x14ac:dyDescent="0.25">
      <c r="A200" s="32" t="s">
        <v>1</v>
      </c>
      <c r="B200" s="30">
        <v>42</v>
      </c>
      <c r="C200" s="30" t="s">
        <v>45</v>
      </c>
      <c r="D200" s="33">
        <v>0</v>
      </c>
      <c r="E200" s="33">
        <v>0</v>
      </c>
      <c r="F200" s="33">
        <v>4701</v>
      </c>
      <c r="G200" s="33">
        <v>1776</v>
      </c>
      <c r="H200" s="33">
        <v>0</v>
      </c>
      <c r="I200" s="33">
        <v>0</v>
      </c>
      <c r="J200" s="33">
        <v>0</v>
      </c>
      <c r="K200" s="33">
        <v>0</v>
      </c>
      <c r="L200" s="33">
        <v>0</v>
      </c>
      <c r="M200" s="33">
        <v>0</v>
      </c>
      <c r="N200" s="33">
        <v>0</v>
      </c>
      <c r="O200" s="33">
        <v>0</v>
      </c>
      <c r="P200" s="33">
        <v>0</v>
      </c>
      <c r="Q200" s="33">
        <v>2214</v>
      </c>
      <c r="R200" s="33">
        <v>6320</v>
      </c>
      <c r="S200" s="33">
        <v>0</v>
      </c>
      <c r="T200" s="33">
        <v>0</v>
      </c>
      <c r="U200" s="33">
        <v>0</v>
      </c>
      <c r="V200" s="33">
        <v>0</v>
      </c>
      <c r="W200" s="33">
        <v>21421</v>
      </c>
      <c r="X200" s="13">
        <f t="shared" si="21"/>
        <v>15011</v>
      </c>
      <c r="Y200" s="13">
        <f t="shared" si="22"/>
        <v>21421</v>
      </c>
      <c r="Z200" s="13">
        <f t="shared" si="23"/>
        <v>0</v>
      </c>
      <c r="AA200" s="13">
        <f t="shared" si="18"/>
        <v>549477</v>
      </c>
      <c r="AB200" s="13">
        <f t="shared" si="19"/>
        <v>266303</v>
      </c>
      <c r="AC200" s="13">
        <f t="shared" si="20"/>
        <v>114580</v>
      </c>
    </row>
    <row r="201" spans="1:29" x14ac:dyDescent="0.25">
      <c r="A201" s="32" t="s">
        <v>1</v>
      </c>
      <c r="B201" s="30">
        <v>43</v>
      </c>
      <c r="C201" s="30" t="s">
        <v>46</v>
      </c>
      <c r="D201" s="33">
        <v>0</v>
      </c>
      <c r="E201" s="33">
        <v>70</v>
      </c>
      <c r="F201" s="33">
        <v>7888</v>
      </c>
      <c r="G201" s="33">
        <v>1084</v>
      </c>
      <c r="H201" s="33">
        <v>0</v>
      </c>
      <c r="I201" s="33">
        <v>0</v>
      </c>
      <c r="J201" s="33">
        <v>0</v>
      </c>
      <c r="K201" s="33">
        <v>0</v>
      </c>
      <c r="L201" s="33">
        <v>0</v>
      </c>
      <c r="M201" s="33">
        <v>0</v>
      </c>
      <c r="N201" s="33">
        <v>0</v>
      </c>
      <c r="O201" s="33">
        <v>4388</v>
      </c>
      <c r="P201" s="33">
        <v>0</v>
      </c>
      <c r="Q201" s="33">
        <v>1451</v>
      </c>
      <c r="R201" s="33">
        <v>5850</v>
      </c>
      <c r="S201" s="33">
        <v>0</v>
      </c>
      <c r="T201" s="33">
        <v>0</v>
      </c>
      <c r="U201" s="33">
        <v>0</v>
      </c>
      <c r="V201" s="33">
        <v>0</v>
      </c>
      <c r="W201" s="33">
        <v>15232</v>
      </c>
      <c r="X201" s="13">
        <f t="shared" si="21"/>
        <v>20661</v>
      </c>
      <c r="Y201" s="13">
        <f t="shared" si="22"/>
        <v>15232</v>
      </c>
      <c r="Z201" s="13">
        <f t="shared" si="23"/>
        <v>70</v>
      </c>
      <c r="AA201" s="13">
        <f t="shared" si="18"/>
        <v>570138</v>
      </c>
      <c r="AB201" s="13">
        <f t="shared" si="19"/>
        <v>281535</v>
      </c>
      <c r="AC201" s="13">
        <f t="shared" si="20"/>
        <v>114650</v>
      </c>
    </row>
    <row r="202" spans="1:29" x14ac:dyDescent="0.25">
      <c r="A202" s="32" t="s">
        <v>1</v>
      </c>
      <c r="B202" s="30">
        <v>44</v>
      </c>
      <c r="C202" s="30" t="s">
        <v>47</v>
      </c>
      <c r="D202" s="33">
        <v>0</v>
      </c>
      <c r="E202" s="33">
        <v>35</v>
      </c>
      <c r="F202" s="33">
        <v>5677</v>
      </c>
      <c r="G202" s="33">
        <v>708</v>
      </c>
      <c r="H202" s="33">
        <v>0</v>
      </c>
      <c r="I202" s="33">
        <v>0</v>
      </c>
      <c r="J202" s="33">
        <v>0</v>
      </c>
      <c r="K202" s="33">
        <v>0</v>
      </c>
      <c r="L202" s="33">
        <v>0</v>
      </c>
      <c r="M202" s="33">
        <v>0</v>
      </c>
      <c r="N202" s="33">
        <v>0</v>
      </c>
      <c r="O202" s="33">
        <v>1091</v>
      </c>
      <c r="P202" s="33">
        <v>0</v>
      </c>
      <c r="Q202" s="33">
        <v>1821</v>
      </c>
      <c r="R202" s="33">
        <v>4911</v>
      </c>
      <c r="S202" s="33">
        <v>0</v>
      </c>
      <c r="T202" s="33">
        <v>0</v>
      </c>
      <c r="U202" s="33">
        <v>0</v>
      </c>
      <c r="V202" s="33">
        <v>0</v>
      </c>
      <c r="W202" s="33">
        <v>19149</v>
      </c>
      <c r="X202" s="13">
        <f t="shared" si="21"/>
        <v>14208</v>
      </c>
      <c r="Y202" s="13">
        <f t="shared" si="22"/>
        <v>19149</v>
      </c>
      <c r="Z202" s="13">
        <f t="shared" si="23"/>
        <v>35</v>
      </c>
      <c r="AA202" s="13">
        <f t="shared" si="18"/>
        <v>584346</v>
      </c>
      <c r="AB202" s="13">
        <f t="shared" si="19"/>
        <v>300684</v>
      </c>
      <c r="AC202" s="13">
        <f t="shared" si="20"/>
        <v>114685</v>
      </c>
    </row>
    <row r="203" spans="1:29" x14ac:dyDescent="0.25">
      <c r="A203" s="32" t="s">
        <v>1</v>
      </c>
      <c r="B203" s="30">
        <v>45</v>
      </c>
      <c r="C203" s="30" t="s">
        <v>48</v>
      </c>
      <c r="D203" s="33">
        <v>0</v>
      </c>
      <c r="E203" s="33">
        <v>0</v>
      </c>
      <c r="F203" s="33">
        <v>4326</v>
      </c>
      <c r="G203" s="33">
        <v>686</v>
      </c>
      <c r="H203" s="33">
        <v>0</v>
      </c>
      <c r="I203" s="33">
        <v>0</v>
      </c>
      <c r="J203" s="33">
        <v>0</v>
      </c>
      <c r="K203" s="33">
        <v>0</v>
      </c>
      <c r="L203" s="33">
        <v>0</v>
      </c>
      <c r="M203" s="33">
        <v>0</v>
      </c>
      <c r="N203" s="33">
        <v>0</v>
      </c>
      <c r="O203" s="33">
        <v>1656</v>
      </c>
      <c r="P203" s="33">
        <v>0</v>
      </c>
      <c r="Q203" s="33">
        <v>491</v>
      </c>
      <c r="R203" s="33">
        <v>5968</v>
      </c>
      <c r="S203" s="33">
        <v>0</v>
      </c>
      <c r="T203" s="33">
        <v>0</v>
      </c>
      <c r="U203" s="33">
        <v>0</v>
      </c>
      <c r="V203" s="33">
        <v>0</v>
      </c>
      <c r="W203" s="33">
        <v>20084</v>
      </c>
      <c r="X203" s="13">
        <f t="shared" si="21"/>
        <v>13127</v>
      </c>
      <c r="Y203" s="13">
        <f t="shared" si="22"/>
        <v>20084</v>
      </c>
      <c r="Z203" s="13">
        <f t="shared" si="23"/>
        <v>0</v>
      </c>
      <c r="AA203" s="13">
        <f t="shared" si="18"/>
        <v>597473</v>
      </c>
      <c r="AB203" s="13">
        <f t="shared" si="19"/>
        <v>320768</v>
      </c>
      <c r="AC203" s="13">
        <f t="shared" si="20"/>
        <v>114685</v>
      </c>
    </row>
    <row r="204" spans="1:29" x14ac:dyDescent="0.25">
      <c r="A204" s="32" t="s">
        <v>1</v>
      </c>
      <c r="B204" s="30">
        <v>46</v>
      </c>
      <c r="C204" s="30" t="s">
        <v>49</v>
      </c>
      <c r="D204" s="33">
        <v>0</v>
      </c>
      <c r="E204" s="33">
        <v>0</v>
      </c>
      <c r="F204" s="33">
        <v>4685</v>
      </c>
      <c r="G204" s="33">
        <v>928</v>
      </c>
      <c r="H204" s="33">
        <v>0</v>
      </c>
      <c r="I204" s="33">
        <v>0</v>
      </c>
      <c r="J204" s="33">
        <v>0</v>
      </c>
      <c r="K204" s="33">
        <v>0</v>
      </c>
      <c r="L204" s="33">
        <v>0</v>
      </c>
      <c r="M204" s="33">
        <v>0</v>
      </c>
      <c r="N204" s="33">
        <v>0</v>
      </c>
      <c r="O204" s="33">
        <v>1564</v>
      </c>
      <c r="P204" s="33">
        <v>0</v>
      </c>
      <c r="Q204" s="33">
        <v>1135</v>
      </c>
      <c r="R204" s="33">
        <v>5374</v>
      </c>
      <c r="S204" s="33">
        <v>0</v>
      </c>
      <c r="T204" s="33">
        <v>0</v>
      </c>
      <c r="U204" s="33">
        <v>0</v>
      </c>
      <c r="V204" s="33">
        <v>0</v>
      </c>
      <c r="W204" s="33">
        <v>20688</v>
      </c>
      <c r="X204" s="13">
        <f t="shared" si="21"/>
        <v>13686</v>
      </c>
      <c r="Y204" s="13">
        <f t="shared" si="22"/>
        <v>20688</v>
      </c>
      <c r="Z204" s="13">
        <f t="shared" si="23"/>
        <v>0</v>
      </c>
      <c r="AA204" s="13">
        <f t="shared" si="18"/>
        <v>611159</v>
      </c>
      <c r="AB204" s="13">
        <f t="shared" si="19"/>
        <v>341456</v>
      </c>
      <c r="AC204" s="13">
        <f t="shared" si="20"/>
        <v>114685</v>
      </c>
    </row>
    <row r="205" spans="1:29" x14ac:dyDescent="0.25">
      <c r="A205" s="32" t="s">
        <v>1</v>
      </c>
      <c r="B205" s="30">
        <v>47</v>
      </c>
      <c r="C205" s="30" t="s">
        <v>50</v>
      </c>
      <c r="D205" s="33">
        <v>0</v>
      </c>
      <c r="E205" s="33">
        <v>0</v>
      </c>
      <c r="F205" s="33">
        <v>4007</v>
      </c>
      <c r="G205" s="33">
        <v>1035</v>
      </c>
      <c r="H205" s="33">
        <v>0</v>
      </c>
      <c r="I205" s="33">
        <v>0</v>
      </c>
      <c r="J205" s="33">
        <v>0</v>
      </c>
      <c r="K205" s="33">
        <v>0</v>
      </c>
      <c r="L205" s="33">
        <v>0</v>
      </c>
      <c r="M205" s="33">
        <v>0</v>
      </c>
      <c r="N205" s="33">
        <v>0</v>
      </c>
      <c r="O205" s="33">
        <v>1119</v>
      </c>
      <c r="P205" s="33">
        <v>0</v>
      </c>
      <c r="Q205" s="33">
        <v>861</v>
      </c>
      <c r="R205" s="33">
        <v>6714</v>
      </c>
      <c r="S205" s="33">
        <v>0</v>
      </c>
      <c r="T205" s="33">
        <v>0</v>
      </c>
      <c r="U205" s="33">
        <v>0</v>
      </c>
      <c r="V205" s="33">
        <v>0</v>
      </c>
      <c r="W205" s="33">
        <v>21282</v>
      </c>
      <c r="X205" s="13">
        <f t="shared" si="21"/>
        <v>13736</v>
      </c>
      <c r="Y205" s="13">
        <f t="shared" si="22"/>
        <v>21282</v>
      </c>
      <c r="Z205" s="13">
        <f t="shared" si="23"/>
        <v>0</v>
      </c>
      <c r="AA205" s="13">
        <f t="shared" si="18"/>
        <v>624895</v>
      </c>
      <c r="AB205" s="13">
        <f t="shared" si="19"/>
        <v>362738</v>
      </c>
      <c r="AC205" s="13">
        <f t="shared" si="20"/>
        <v>114685</v>
      </c>
    </row>
    <row r="206" spans="1:29" x14ac:dyDescent="0.25">
      <c r="A206" s="32" t="s">
        <v>1</v>
      </c>
      <c r="B206" s="30">
        <v>48</v>
      </c>
      <c r="C206" s="30" t="s">
        <v>51</v>
      </c>
      <c r="D206" s="33">
        <v>0</v>
      </c>
      <c r="E206" s="33">
        <v>0</v>
      </c>
      <c r="F206" s="33">
        <v>3996</v>
      </c>
      <c r="G206" s="33">
        <v>1805</v>
      </c>
      <c r="H206" s="33">
        <v>0</v>
      </c>
      <c r="I206" s="33">
        <v>0</v>
      </c>
      <c r="J206" s="33">
        <v>0</v>
      </c>
      <c r="K206" s="33">
        <v>0</v>
      </c>
      <c r="L206" s="33">
        <v>0</v>
      </c>
      <c r="M206" s="33">
        <v>0</v>
      </c>
      <c r="N206" s="33">
        <v>0</v>
      </c>
      <c r="O206" s="33">
        <v>3937</v>
      </c>
      <c r="P206" s="33">
        <v>0</v>
      </c>
      <c r="Q206" s="33">
        <v>1745</v>
      </c>
      <c r="R206" s="33">
        <v>3330</v>
      </c>
      <c r="S206" s="33">
        <v>0</v>
      </c>
      <c r="T206" s="33">
        <v>0</v>
      </c>
      <c r="U206" s="33">
        <v>0</v>
      </c>
      <c r="V206" s="33">
        <v>0</v>
      </c>
      <c r="W206" s="33">
        <v>14056</v>
      </c>
      <c r="X206" s="13">
        <f t="shared" si="21"/>
        <v>14813</v>
      </c>
      <c r="Y206" s="13">
        <f t="shared" si="22"/>
        <v>14056</v>
      </c>
      <c r="Z206" s="13">
        <f t="shared" si="23"/>
        <v>0</v>
      </c>
      <c r="AA206" s="13">
        <f t="shared" si="18"/>
        <v>639708</v>
      </c>
      <c r="AB206" s="13">
        <f t="shared" si="19"/>
        <v>376794</v>
      </c>
      <c r="AC206" s="13">
        <f t="shared" si="20"/>
        <v>114685</v>
      </c>
    </row>
    <row r="207" spans="1:29" x14ac:dyDescent="0.25">
      <c r="A207" s="32" t="s">
        <v>1</v>
      </c>
      <c r="B207" s="30">
        <v>49</v>
      </c>
      <c r="C207" s="30" t="s">
        <v>52</v>
      </c>
      <c r="D207" s="33">
        <v>0</v>
      </c>
      <c r="E207" s="33">
        <v>0</v>
      </c>
      <c r="F207" s="33">
        <v>3996</v>
      </c>
      <c r="G207" s="33">
        <v>1711</v>
      </c>
      <c r="H207" s="33">
        <v>0</v>
      </c>
      <c r="I207" s="33">
        <v>0</v>
      </c>
      <c r="J207" s="33">
        <v>0</v>
      </c>
      <c r="K207" s="33">
        <v>0</v>
      </c>
      <c r="L207" s="33">
        <v>0</v>
      </c>
      <c r="M207" s="33">
        <v>0</v>
      </c>
      <c r="N207" s="33">
        <v>0</v>
      </c>
      <c r="O207" s="33">
        <v>501</v>
      </c>
      <c r="P207" s="33">
        <v>0</v>
      </c>
      <c r="Q207" s="33">
        <v>1143</v>
      </c>
      <c r="R207" s="33">
        <v>4235</v>
      </c>
      <c r="S207" s="33">
        <v>0</v>
      </c>
      <c r="T207" s="33">
        <v>0</v>
      </c>
      <c r="U207" s="33">
        <v>0</v>
      </c>
      <c r="V207" s="33">
        <v>0</v>
      </c>
      <c r="W207" s="33">
        <v>16897</v>
      </c>
      <c r="X207" s="13">
        <f t="shared" si="21"/>
        <v>11586</v>
      </c>
      <c r="Y207" s="13">
        <f t="shared" si="22"/>
        <v>16897</v>
      </c>
      <c r="Z207" s="13">
        <f t="shared" si="23"/>
        <v>0</v>
      </c>
      <c r="AA207" s="13">
        <f t="shared" si="18"/>
        <v>651294</v>
      </c>
      <c r="AB207" s="13">
        <f t="shared" si="19"/>
        <v>393691</v>
      </c>
      <c r="AC207" s="13">
        <f t="shared" si="20"/>
        <v>114685</v>
      </c>
    </row>
    <row r="208" spans="1:29" x14ac:dyDescent="0.25">
      <c r="A208" s="32" t="s">
        <v>1</v>
      </c>
      <c r="B208" s="30">
        <v>50</v>
      </c>
      <c r="C208" s="30" t="s">
        <v>53</v>
      </c>
      <c r="D208" s="33">
        <v>0</v>
      </c>
      <c r="E208" s="33">
        <v>0</v>
      </c>
      <c r="F208" s="33">
        <v>5637</v>
      </c>
      <c r="G208" s="33">
        <v>1779</v>
      </c>
      <c r="H208" s="33">
        <v>0</v>
      </c>
      <c r="I208" s="33">
        <v>0</v>
      </c>
      <c r="J208" s="33">
        <v>0</v>
      </c>
      <c r="K208" s="33">
        <v>0</v>
      </c>
      <c r="L208" s="33">
        <v>0</v>
      </c>
      <c r="M208" s="33">
        <v>0</v>
      </c>
      <c r="N208" s="33">
        <v>0</v>
      </c>
      <c r="O208" s="33">
        <v>302</v>
      </c>
      <c r="P208" s="33">
        <v>0</v>
      </c>
      <c r="Q208" s="33">
        <v>750</v>
      </c>
      <c r="R208" s="33">
        <v>6906</v>
      </c>
      <c r="S208" s="33">
        <v>0</v>
      </c>
      <c r="T208" s="33">
        <v>0</v>
      </c>
      <c r="U208" s="33">
        <v>0</v>
      </c>
      <c r="V208" s="33">
        <v>0</v>
      </c>
      <c r="W208" s="33">
        <v>19065</v>
      </c>
      <c r="X208" s="13">
        <f t="shared" si="21"/>
        <v>15374</v>
      </c>
      <c r="Y208" s="13">
        <f t="shared" si="22"/>
        <v>19065</v>
      </c>
      <c r="Z208" s="13">
        <f t="shared" si="23"/>
        <v>0</v>
      </c>
      <c r="AA208" s="13">
        <f t="shared" si="18"/>
        <v>666668</v>
      </c>
      <c r="AB208" s="13">
        <f t="shared" si="19"/>
        <v>412756</v>
      </c>
      <c r="AC208" s="13">
        <f t="shared" si="20"/>
        <v>114685</v>
      </c>
    </row>
    <row r="209" spans="1:29" x14ac:dyDescent="0.25">
      <c r="A209" s="32" t="s">
        <v>1</v>
      </c>
      <c r="B209" s="30">
        <v>51</v>
      </c>
      <c r="C209" s="30" t="s">
        <v>54</v>
      </c>
      <c r="D209" s="33">
        <v>0</v>
      </c>
      <c r="E209" s="33">
        <v>0</v>
      </c>
      <c r="F209" s="33">
        <v>5636</v>
      </c>
      <c r="G209" s="33">
        <v>2244</v>
      </c>
      <c r="H209" s="33">
        <v>0</v>
      </c>
      <c r="I209" s="33">
        <v>0</v>
      </c>
      <c r="J209" s="33">
        <v>0</v>
      </c>
      <c r="K209" s="33">
        <v>0</v>
      </c>
      <c r="L209" s="33">
        <v>0</v>
      </c>
      <c r="M209" s="33">
        <v>0</v>
      </c>
      <c r="N209" s="33">
        <v>0</v>
      </c>
      <c r="O209" s="33">
        <v>0</v>
      </c>
      <c r="P209" s="33">
        <v>0</v>
      </c>
      <c r="Q209" s="33">
        <v>1918</v>
      </c>
      <c r="R209" s="33">
        <v>6730</v>
      </c>
      <c r="S209" s="33">
        <v>0</v>
      </c>
      <c r="T209" s="33">
        <v>0</v>
      </c>
      <c r="U209" s="33">
        <v>0</v>
      </c>
      <c r="V209" s="33">
        <v>0</v>
      </c>
      <c r="W209" s="33">
        <v>16619</v>
      </c>
      <c r="X209" s="13">
        <f t="shared" si="21"/>
        <v>16528</v>
      </c>
      <c r="Y209" s="13">
        <f t="shared" si="22"/>
        <v>16619</v>
      </c>
      <c r="Z209" s="13">
        <f t="shared" si="23"/>
        <v>0</v>
      </c>
      <c r="AA209" s="13">
        <f t="shared" si="18"/>
        <v>683196</v>
      </c>
      <c r="AB209" s="13">
        <f t="shared" si="19"/>
        <v>429375</v>
      </c>
      <c r="AC209" s="13">
        <f t="shared" si="20"/>
        <v>114685</v>
      </c>
    </row>
    <row r="210" spans="1:29" x14ac:dyDescent="0.25">
      <c r="A210" s="32" t="s">
        <v>1</v>
      </c>
      <c r="B210" s="30">
        <v>52</v>
      </c>
      <c r="C210" s="30" t="s">
        <v>55</v>
      </c>
      <c r="D210" s="33">
        <v>0</v>
      </c>
      <c r="E210" s="33">
        <v>0</v>
      </c>
      <c r="F210" s="33">
        <v>9501</v>
      </c>
      <c r="G210" s="33">
        <v>1568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4245</v>
      </c>
      <c r="P210" s="33">
        <v>0</v>
      </c>
      <c r="Q210" s="33">
        <v>2037</v>
      </c>
      <c r="R210" s="33">
        <v>7610</v>
      </c>
      <c r="S210" s="33">
        <v>0</v>
      </c>
      <c r="T210" s="33">
        <v>0</v>
      </c>
      <c r="U210" s="33">
        <v>0</v>
      </c>
      <c r="V210" s="33">
        <v>0</v>
      </c>
      <c r="W210" s="33">
        <v>17433</v>
      </c>
      <c r="X210" s="13">
        <f t="shared" si="21"/>
        <v>24961</v>
      </c>
      <c r="Y210" s="13">
        <f t="shared" si="22"/>
        <v>17433</v>
      </c>
      <c r="Z210" s="13">
        <f t="shared" si="23"/>
        <v>0</v>
      </c>
      <c r="AA210" s="13">
        <f t="shared" si="18"/>
        <v>708157</v>
      </c>
      <c r="AB210" s="13">
        <f t="shared" si="19"/>
        <v>446808</v>
      </c>
      <c r="AC210" s="13">
        <f t="shared" si="20"/>
        <v>114685</v>
      </c>
    </row>
    <row r="211" spans="1:29" x14ac:dyDescent="0.25">
      <c r="A211" s="35" t="s">
        <v>65</v>
      </c>
      <c r="B211" s="38">
        <v>1</v>
      </c>
      <c r="C211" s="38" t="s">
        <v>66</v>
      </c>
      <c r="D211" s="37">
        <v>0</v>
      </c>
      <c r="E211" s="37">
        <v>0</v>
      </c>
      <c r="F211" s="39">
        <v>2814</v>
      </c>
      <c r="G211" s="39">
        <v>1339</v>
      </c>
      <c r="H211" s="37">
        <v>0</v>
      </c>
      <c r="I211" s="37">
        <v>0</v>
      </c>
      <c r="J211" s="37">
        <v>0</v>
      </c>
      <c r="K211" s="37">
        <v>0</v>
      </c>
      <c r="L211" s="37">
        <v>0</v>
      </c>
      <c r="M211" s="37">
        <v>0</v>
      </c>
      <c r="N211" s="37">
        <v>0</v>
      </c>
      <c r="O211" s="39">
        <v>0</v>
      </c>
      <c r="P211" s="37">
        <v>0</v>
      </c>
      <c r="Q211" s="39">
        <v>1014</v>
      </c>
      <c r="R211" s="39">
        <v>2419</v>
      </c>
      <c r="S211" s="37">
        <v>0</v>
      </c>
      <c r="T211" s="37">
        <v>0</v>
      </c>
      <c r="U211" s="37">
        <v>0</v>
      </c>
      <c r="V211" s="39">
        <v>0</v>
      </c>
      <c r="W211" s="39">
        <v>6628</v>
      </c>
      <c r="X211" s="42">
        <f t="shared" si="21"/>
        <v>7586</v>
      </c>
      <c r="Y211" s="42">
        <f t="shared" si="22"/>
        <v>6628</v>
      </c>
      <c r="Z211" s="42">
        <f t="shared" si="23"/>
        <v>0</v>
      </c>
      <c r="AA211" s="42">
        <f>X211</f>
        <v>7586</v>
      </c>
      <c r="AB211" s="42">
        <f>Y211</f>
        <v>6628</v>
      </c>
      <c r="AC211" s="42">
        <f>Z211</f>
        <v>0</v>
      </c>
    </row>
    <row r="212" spans="1:29" x14ac:dyDescent="0.25">
      <c r="A212" s="32" t="s">
        <v>65</v>
      </c>
      <c r="B212" s="2">
        <v>2</v>
      </c>
      <c r="C212" s="2" t="s">
        <v>67</v>
      </c>
      <c r="D212" s="33">
        <v>0</v>
      </c>
      <c r="E212" s="33">
        <v>0</v>
      </c>
      <c r="F212" s="3">
        <v>6542</v>
      </c>
      <c r="G212" s="3">
        <v>1917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">
        <v>312</v>
      </c>
      <c r="P212" s="33">
        <v>0</v>
      </c>
      <c r="Q212" s="3">
        <v>923</v>
      </c>
      <c r="R212" s="3">
        <v>1789</v>
      </c>
      <c r="S212" s="33">
        <v>0</v>
      </c>
      <c r="T212" s="33">
        <v>0</v>
      </c>
      <c r="U212" s="33">
        <v>0</v>
      </c>
      <c r="V212" s="3">
        <v>0</v>
      </c>
      <c r="W212" s="3">
        <v>10152</v>
      </c>
      <c r="X212" s="13">
        <f t="shared" si="21"/>
        <v>11483</v>
      </c>
      <c r="Y212" s="13">
        <f t="shared" si="22"/>
        <v>10152</v>
      </c>
      <c r="Z212" s="13">
        <f t="shared" si="23"/>
        <v>0</v>
      </c>
      <c r="AA212" s="13">
        <f>AA211+X212</f>
        <v>19069</v>
      </c>
      <c r="AB212" s="13">
        <f>AB211+Y212</f>
        <v>16780</v>
      </c>
      <c r="AC212" s="13">
        <f>AC211+Z212</f>
        <v>0</v>
      </c>
    </row>
    <row r="213" spans="1:29" x14ac:dyDescent="0.25">
      <c r="A213" s="32" t="s">
        <v>65</v>
      </c>
      <c r="B213" s="2">
        <v>3</v>
      </c>
      <c r="C213" s="2" t="s">
        <v>68</v>
      </c>
      <c r="D213" s="33">
        <v>0</v>
      </c>
      <c r="E213" s="33">
        <v>0</v>
      </c>
      <c r="F213" s="3">
        <v>6062</v>
      </c>
      <c r="G213" s="3">
        <v>391</v>
      </c>
      <c r="H213" s="33">
        <v>0</v>
      </c>
      <c r="I213" s="33">
        <v>0</v>
      </c>
      <c r="J213" s="33">
        <v>0</v>
      </c>
      <c r="K213" s="33">
        <v>0</v>
      </c>
      <c r="L213" s="33">
        <v>0</v>
      </c>
      <c r="M213" s="33">
        <v>0</v>
      </c>
      <c r="N213" s="33">
        <v>0</v>
      </c>
      <c r="O213" s="3">
        <v>606</v>
      </c>
      <c r="P213" s="33">
        <v>0</v>
      </c>
      <c r="Q213" s="3">
        <v>1134</v>
      </c>
      <c r="R213" s="3">
        <v>4204</v>
      </c>
      <c r="S213" s="33">
        <v>0</v>
      </c>
      <c r="T213" s="33">
        <v>0</v>
      </c>
      <c r="U213" s="33">
        <v>0</v>
      </c>
      <c r="V213" s="3">
        <v>0</v>
      </c>
      <c r="W213" s="3">
        <v>10348</v>
      </c>
      <c r="X213" s="13">
        <f t="shared" si="21"/>
        <v>12397</v>
      </c>
      <c r="Y213" s="13">
        <f t="shared" si="22"/>
        <v>10348</v>
      </c>
      <c r="Z213" s="13">
        <f t="shared" si="23"/>
        <v>0</v>
      </c>
      <c r="AA213" s="13">
        <f t="shared" ref="AA213:AA262" si="24">AA212+X213</f>
        <v>31466</v>
      </c>
      <c r="AB213" s="13">
        <f t="shared" ref="AB213:AB262" si="25">AB212+Y213</f>
        <v>27128</v>
      </c>
      <c r="AC213" s="13">
        <f t="shared" ref="AC213:AC262" si="26">AC212+Z213</f>
        <v>0</v>
      </c>
    </row>
    <row r="214" spans="1:29" x14ac:dyDescent="0.25">
      <c r="A214" s="32" t="s">
        <v>65</v>
      </c>
      <c r="B214" s="2">
        <v>4</v>
      </c>
      <c r="C214" s="2" t="s">
        <v>69</v>
      </c>
      <c r="D214" s="33">
        <v>0</v>
      </c>
      <c r="E214" s="33">
        <v>0</v>
      </c>
      <c r="F214" s="3">
        <v>6030</v>
      </c>
      <c r="G214" s="3">
        <v>414</v>
      </c>
      <c r="H214" s="33">
        <v>0</v>
      </c>
      <c r="I214" s="33">
        <v>0</v>
      </c>
      <c r="J214" s="33">
        <v>0</v>
      </c>
      <c r="K214" s="33">
        <v>0</v>
      </c>
      <c r="L214" s="33">
        <v>0</v>
      </c>
      <c r="M214" s="33">
        <v>0</v>
      </c>
      <c r="N214" s="33">
        <v>0</v>
      </c>
      <c r="O214" s="3">
        <v>499</v>
      </c>
      <c r="P214" s="33">
        <v>0</v>
      </c>
      <c r="Q214" s="3">
        <v>1677</v>
      </c>
      <c r="R214" s="3">
        <v>2622</v>
      </c>
      <c r="S214" s="33">
        <v>0</v>
      </c>
      <c r="T214" s="33">
        <v>0</v>
      </c>
      <c r="U214" s="33">
        <v>0</v>
      </c>
      <c r="V214" s="3">
        <v>0</v>
      </c>
      <c r="W214" s="3">
        <v>11058</v>
      </c>
      <c r="X214" s="13">
        <f t="shared" si="21"/>
        <v>11242</v>
      </c>
      <c r="Y214" s="13">
        <f t="shared" si="22"/>
        <v>11058</v>
      </c>
      <c r="Z214" s="13">
        <f t="shared" si="23"/>
        <v>0</v>
      </c>
      <c r="AA214" s="13">
        <f t="shared" si="24"/>
        <v>42708</v>
      </c>
      <c r="AB214" s="13">
        <f t="shared" si="25"/>
        <v>38186</v>
      </c>
      <c r="AC214" s="13">
        <f t="shared" si="26"/>
        <v>0</v>
      </c>
    </row>
    <row r="215" spans="1:29" x14ac:dyDescent="0.25">
      <c r="A215" s="32" t="s">
        <v>65</v>
      </c>
      <c r="B215" s="2">
        <v>5</v>
      </c>
      <c r="C215" s="2" t="s">
        <v>70</v>
      </c>
      <c r="D215" s="33">
        <v>0</v>
      </c>
      <c r="E215" s="33">
        <v>0</v>
      </c>
      <c r="F215" s="3">
        <v>5754</v>
      </c>
      <c r="G215" s="3">
        <v>634</v>
      </c>
      <c r="H215" s="33">
        <v>0</v>
      </c>
      <c r="I215" s="33">
        <v>0</v>
      </c>
      <c r="J215" s="33">
        <v>0</v>
      </c>
      <c r="K215" s="33">
        <v>0</v>
      </c>
      <c r="L215" s="33">
        <v>0</v>
      </c>
      <c r="M215" s="33">
        <v>0</v>
      </c>
      <c r="N215" s="33">
        <v>0</v>
      </c>
      <c r="O215" s="3">
        <v>5483</v>
      </c>
      <c r="P215" s="33">
        <v>0</v>
      </c>
      <c r="Q215" s="3">
        <v>1095</v>
      </c>
      <c r="R215" s="3">
        <v>4407</v>
      </c>
      <c r="S215" s="33">
        <v>0</v>
      </c>
      <c r="T215" s="33">
        <v>0</v>
      </c>
      <c r="U215" s="33">
        <v>0</v>
      </c>
      <c r="V215" s="3">
        <v>0</v>
      </c>
      <c r="W215" s="3">
        <v>11172</v>
      </c>
      <c r="X215" s="13">
        <f t="shared" si="21"/>
        <v>17373</v>
      </c>
      <c r="Y215" s="13">
        <f t="shared" si="22"/>
        <v>11172</v>
      </c>
      <c r="Z215" s="13">
        <f t="shared" si="23"/>
        <v>0</v>
      </c>
      <c r="AA215" s="13">
        <f t="shared" si="24"/>
        <v>60081</v>
      </c>
      <c r="AB215" s="13">
        <f t="shared" si="25"/>
        <v>49358</v>
      </c>
      <c r="AC215" s="13">
        <f t="shared" si="26"/>
        <v>0</v>
      </c>
    </row>
    <row r="216" spans="1:29" x14ac:dyDescent="0.25">
      <c r="A216" s="32" t="s">
        <v>65</v>
      </c>
      <c r="B216" s="2">
        <v>6</v>
      </c>
      <c r="C216" s="2" t="s">
        <v>71</v>
      </c>
      <c r="D216" s="33">
        <v>0</v>
      </c>
      <c r="E216" s="33">
        <v>0</v>
      </c>
      <c r="F216" s="3">
        <v>5151</v>
      </c>
      <c r="G216" s="3">
        <v>628</v>
      </c>
      <c r="H216" s="33">
        <v>0</v>
      </c>
      <c r="I216" s="33">
        <v>0</v>
      </c>
      <c r="J216" s="33">
        <v>0</v>
      </c>
      <c r="K216" s="33">
        <v>0</v>
      </c>
      <c r="L216" s="33">
        <v>0</v>
      </c>
      <c r="M216" s="33">
        <v>0</v>
      </c>
      <c r="N216" s="33">
        <v>0</v>
      </c>
      <c r="O216" s="3">
        <v>2696</v>
      </c>
      <c r="P216" s="33">
        <v>0</v>
      </c>
      <c r="Q216" s="3">
        <v>1204</v>
      </c>
      <c r="R216" s="3">
        <v>3733</v>
      </c>
      <c r="S216" s="33">
        <v>0</v>
      </c>
      <c r="T216" s="33">
        <v>0</v>
      </c>
      <c r="U216" s="33">
        <v>0</v>
      </c>
      <c r="V216" s="3">
        <v>0</v>
      </c>
      <c r="W216" s="3">
        <v>13365</v>
      </c>
      <c r="X216" s="13">
        <f t="shared" si="21"/>
        <v>13412</v>
      </c>
      <c r="Y216" s="13">
        <f t="shared" si="22"/>
        <v>13365</v>
      </c>
      <c r="Z216" s="13">
        <f t="shared" si="23"/>
        <v>0</v>
      </c>
      <c r="AA216" s="13">
        <f t="shared" si="24"/>
        <v>73493</v>
      </c>
      <c r="AB216" s="13">
        <f t="shared" si="25"/>
        <v>62723</v>
      </c>
      <c r="AC216" s="13">
        <f t="shared" si="26"/>
        <v>0</v>
      </c>
    </row>
    <row r="217" spans="1:29" x14ac:dyDescent="0.25">
      <c r="A217" s="32" t="s">
        <v>65</v>
      </c>
      <c r="B217" s="2">
        <v>7</v>
      </c>
      <c r="C217" s="2" t="s">
        <v>72</v>
      </c>
      <c r="D217" s="33">
        <v>0</v>
      </c>
      <c r="E217" s="33">
        <v>0</v>
      </c>
      <c r="F217" s="3">
        <v>4364</v>
      </c>
      <c r="G217" s="3">
        <v>1780</v>
      </c>
      <c r="H217" s="33">
        <v>0</v>
      </c>
      <c r="I217" s="33">
        <v>0</v>
      </c>
      <c r="J217" s="33">
        <v>0</v>
      </c>
      <c r="K217" s="33">
        <v>0</v>
      </c>
      <c r="L217" s="33">
        <v>0</v>
      </c>
      <c r="M217" s="33">
        <v>0</v>
      </c>
      <c r="N217" s="33">
        <v>0</v>
      </c>
      <c r="O217" s="3">
        <v>2371</v>
      </c>
      <c r="P217" s="33">
        <v>0</v>
      </c>
      <c r="Q217" s="3">
        <v>71</v>
      </c>
      <c r="R217" s="3">
        <v>3873</v>
      </c>
      <c r="S217" s="33">
        <v>0</v>
      </c>
      <c r="T217" s="33">
        <v>0</v>
      </c>
      <c r="U217" s="33">
        <v>0</v>
      </c>
      <c r="V217" s="3">
        <v>69</v>
      </c>
      <c r="W217" s="3">
        <v>10725</v>
      </c>
      <c r="X217" s="13">
        <f t="shared" si="21"/>
        <v>12459</v>
      </c>
      <c r="Y217" s="13">
        <f t="shared" si="22"/>
        <v>10725</v>
      </c>
      <c r="Z217" s="13">
        <f t="shared" si="23"/>
        <v>69</v>
      </c>
      <c r="AA217" s="13">
        <f t="shared" si="24"/>
        <v>85952</v>
      </c>
      <c r="AB217" s="13">
        <f t="shared" si="25"/>
        <v>73448</v>
      </c>
      <c r="AC217" s="13">
        <f t="shared" si="26"/>
        <v>69</v>
      </c>
    </row>
    <row r="218" spans="1:29" x14ac:dyDescent="0.25">
      <c r="A218" s="32" t="s">
        <v>65</v>
      </c>
      <c r="B218" s="2">
        <v>8</v>
      </c>
      <c r="C218" s="2" t="s">
        <v>73</v>
      </c>
      <c r="D218" s="33">
        <v>0</v>
      </c>
      <c r="E218" s="33">
        <v>0</v>
      </c>
      <c r="F218" s="3">
        <v>4780</v>
      </c>
      <c r="G218" s="3">
        <v>0</v>
      </c>
      <c r="H218" s="33">
        <v>0</v>
      </c>
      <c r="I218" s="33">
        <v>0</v>
      </c>
      <c r="J218" s="33">
        <v>0</v>
      </c>
      <c r="K218" s="33">
        <v>0</v>
      </c>
      <c r="L218" s="33">
        <v>0</v>
      </c>
      <c r="M218" s="33">
        <v>0</v>
      </c>
      <c r="N218" s="33">
        <v>0</v>
      </c>
      <c r="O218" s="3">
        <v>2466</v>
      </c>
      <c r="P218" s="33">
        <v>0</v>
      </c>
      <c r="Q218" s="3">
        <v>909</v>
      </c>
      <c r="R218" s="3">
        <v>3199</v>
      </c>
      <c r="S218" s="33">
        <v>0</v>
      </c>
      <c r="T218" s="33">
        <v>0</v>
      </c>
      <c r="U218" s="33">
        <v>0</v>
      </c>
      <c r="V218" s="3">
        <v>0</v>
      </c>
      <c r="W218" s="3">
        <v>14095</v>
      </c>
      <c r="X218" s="13">
        <f t="shared" si="21"/>
        <v>11354</v>
      </c>
      <c r="Y218" s="13">
        <f t="shared" si="22"/>
        <v>14095</v>
      </c>
      <c r="Z218" s="13">
        <f t="shared" si="23"/>
        <v>0</v>
      </c>
      <c r="AA218" s="13">
        <f t="shared" si="24"/>
        <v>97306</v>
      </c>
      <c r="AB218" s="13">
        <f t="shared" si="25"/>
        <v>87543</v>
      </c>
      <c r="AC218" s="13">
        <f t="shared" si="26"/>
        <v>69</v>
      </c>
    </row>
    <row r="219" spans="1:29" x14ac:dyDescent="0.25">
      <c r="A219" s="32" t="s">
        <v>65</v>
      </c>
      <c r="B219" s="2">
        <v>9</v>
      </c>
      <c r="C219" s="2" t="s">
        <v>74</v>
      </c>
      <c r="D219" s="33">
        <v>0</v>
      </c>
      <c r="E219" s="33">
        <v>0</v>
      </c>
      <c r="F219" s="3">
        <v>4162</v>
      </c>
      <c r="G219" s="3">
        <v>344</v>
      </c>
      <c r="H219" s="33">
        <v>0</v>
      </c>
      <c r="I219" s="33">
        <v>0</v>
      </c>
      <c r="J219" s="33">
        <v>0</v>
      </c>
      <c r="K219" s="33">
        <v>0</v>
      </c>
      <c r="L219" s="33">
        <v>0</v>
      </c>
      <c r="M219" s="33">
        <v>0</v>
      </c>
      <c r="N219" s="33">
        <v>0</v>
      </c>
      <c r="O219" s="3">
        <v>3020</v>
      </c>
      <c r="P219" s="33">
        <v>0</v>
      </c>
      <c r="Q219" s="3">
        <v>189</v>
      </c>
      <c r="R219" s="3">
        <v>2756</v>
      </c>
      <c r="S219" s="33">
        <v>0</v>
      </c>
      <c r="T219" s="33">
        <v>0</v>
      </c>
      <c r="U219" s="33">
        <v>0</v>
      </c>
      <c r="V219" s="3">
        <v>0</v>
      </c>
      <c r="W219" s="3">
        <v>19506</v>
      </c>
      <c r="X219" s="13">
        <f t="shared" si="21"/>
        <v>10471</v>
      </c>
      <c r="Y219" s="13">
        <f t="shared" si="22"/>
        <v>19506</v>
      </c>
      <c r="Z219" s="13">
        <f t="shared" si="23"/>
        <v>0</v>
      </c>
      <c r="AA219" s="13">
        <f t="shared" si="24"/>
        <v>107777</v>
      </c>
      <c r="AB219" s="13">
        <f t="shared" si="25"/>
        <v>107049</v>
      </c>
      <c r="AC219" s="13">
        <f t="shared" si="26"/>
        <v>69</v>
      </c>
    </row>
    <row r="220" spans="1:29" x14ac:dyDescent="0.25">
      <c r="A220" s="32" t="s">
        <v>65</v>
      </c>
      <c r="B220" s="2">
        <v>10</v>
      </c>
      <c r="C220" s="2" t="s">
        <v>75</v>
      </c>
      <c r="D220" s="33">
        <v>0</v>
      </c>
      <c r="E220" s="33">
        <v>0</v>
      </c>
      <c r="F220" s="3">
        <v>3094</v>
      </c>
      <c r="G220" s="3">
        <v>0</v>
      </c>
      <c r="H220" s="33">
        <v>0</v>
      </c>
      <c r="I220" s="33">
        <v>0</v>
      </c>
      <c r="J220" s="33">
        <v>0</v>
      </c>
      <c r="K220" s="33">
        <v>0</v>
      </c>
      <c r="L220" s="33">
        <v>0</v>
      </c>
      <c r="M220" s="33">
        <v>0</v>
      </c>
      <c r="N220" s="33">
        <v>0</v>
      </c>
      <c r="O220" s="3">
        <v>3489</v>
      </c>
      <c r="P220" s="33">
        <v>0</v>
      </c>
      <c r="Q220" s="3">
        <v>691</v>
      </c>
      <c r="R220" s="3">
        <v>3212</v>
      </c>
      <c r="S220" s="33">
        <v>0</v>
      </c>
      <c r="T220" s="33">
        <v>0</v>
      </c>
      <c r="U220" s="33">
        <v>0</v>
      </c>
      <c r="V220" s="3">
        <v>0</v>
      </c>
      <c r="W220" s="3">
        <v>16931</v>
      </c>
      <c r="X220" s="13">
        <f t="shared" si="21"/>
        <v>10486</v>
      </c>
      <c r="Y220" s="13">
        <f t="shared" si="22"/>
        <v>16931</v>
      </c>
      <c r="Z220" s="13">
        <f t="shared" si="23"/>
        <v>0</v>
      </c>
      <c r="AA220" s="13">
        <f t="shared" si="24"/>
        <v>118263</v>
      </c>
      <c r="AB220" s="13">
        <f t="shared" si="25"/>
        <v>123980</v>
      </c>
      <c r="AC220" s="13">
        <f t="shared" si="26"/>
        <v>69</v>
      </c>
    </row>
    <row r="221" spans="1:29" x14ac:dyDescent="0.25">
      <c r="A221" s="32" t="s">
        <v>65</v>
      </c>
      <c r="B221" s="2">
        <v>11</v>
      </c>
      <c r="C221" s="2" t="s">
        <v>76</v>
      </c>
      <c r="D221" s="33">
        <v>0</v>
      </c>
      <c r="E221" s="33">
        <v>0</v>
      </c>
      <c r="F221" s="3">
        <v>3123</v>
      </c>
      <c r="G221" s="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">
        <v>3124</v>
      </c>
      <c r="P221" s="33">
        <v>0</v>
      </c>
      <c r="Q221" s="3">
        <v>11354</v>
      </c>
      <c r="R221" s="3">
        <v>3580</v>
      </c>
      <c r="S221" s="33">
        <v>0</v>
      </c>
      <c r="T221" s="33">
        <v>0</v>
      </c>
      <c r="U221" s="33">
        <v>0</v>
      </c>
      <c r="V221" s="3">
        <v>0</v>
      </c>
      <c r="W221" s="3">
        <v>19462</v>
      </c>
      <c r="X221" s="13">
        <f t="shared" si="21"/>
        <v>21181</v>
      </c>
      <c r="Y221" s="13">
        <f t="shared" si="22"/>
        <v>19462</v>
      </c>
      <c r="Z221" s="13">
        <f t="shared" si="23"/>
        <v>0</v>
      </c>
      <c r="AA221" s="13">
        <f t="shared" si="24"/>
        <v>139444</v>
      </c>
      <c r="AB221" s="13">
        <f t="shared" si="25"/>
        <v>143442</v>
      </c>
      <c r="AC221" s="13">
        <f t="shared" si="26"/>
        <v>69</v>
      </c>
    </row>
    <row r="222" spans="1:29" x14ac:dyDescent="0.25">
      <c r="A222" s="32" t="s">
        <v>65</v>
      </c>
      <c r="B222" s="2">
        <v>12</v>
      </c>
      <c r="C222" s="2" t="s">
        <v>77</v>
      </c>
      <c r="D222" s="33">
        <v>0</v>
      </c>
      <c r="E222" s="33">
        <v>0</v>
      </c>
      <c r="F222" s="3">
        <v>2023</v>
      </c>
      <c r="G222" s="3">
        <v>452</v>
      </c>
      <c r="H222" s="33">
        <v>0</v>
      </c>
      <c r="I222" s="33">
        <v>0</v>
      </c>
      <c r="J222" s="33">
        <v>0</v>
      </c>
      <c r="K222" s="33">
        <v>0</v>
      </c>
      <c r="L222" s="33">
        <v>0</v>
      </c>
      <c r="M222" s="33">
        <v>0</v>
      </c>
      <c r="N222" s="33">
        <v>0</v>
      </c>
      <c r="O222" s="3">
        <v>3295</v>
      </c>
      <c r="P222" s="33">
        <v>0</v>
      </c>
      <c r="Q222" s="3">
        <v>752</v>
      </c>
      <c r="R222" s="3">
        <v>5054</v>
      </c>
      <c r="S222" s="33">
        <v>0</v>
      </c>
      <c r="T222" s="33">
        <v>0</v>
      </c>
      <c r="U222" s="33">
        <v>0</v>
      </c>
      <c r="V222" s="3">
        <v>0</v>
      </c>
      <c r="W222" s="3">
        <v>19351</v>
      </c>
      <c r="X222" s="13">
        <f t="shared" si="21"/>
        <v>11576</v>
      </c>
      <c r="Y222" s="13">
        <f t="shared" si="22"/>
        <v>19351</v>
      </c>
      <c r="Z222" s="13">
        <f t="shared" si="23"/>
        <v>0</v>
      </c>
      <c r="AA222" s="13">
        <f t="shared" si="24"/>
        <v>151020</v>
      </c>
      <c r="AB222" s="13">
        <f t="shared" si="25"/>
        <v>162793</v>
      </c>
      <c r="AC222" s="13">
        <f t="shared" si="26"/>
        <v>69</v>
      </c>
    </row>
    <row r="223" spans="1:29" x14ac:dyDescent="0.25">
      <c r="A223" s="32" t="s">
        <v>65</v>
      </c>
      <c r="B223" s="2">
        <v>13</v>
      </c>
      <c r="C223" s="2" t="s">
        <v>78</v>
      </c>
      <c r="D223" s="33">
        <v>0</v>
      </c>
      <c r="E223" s="33">
        <v>0</v>
      </c>
      <c r="F223" s="3">
        <v>4743</v>
      </c>
      <c r="G223" s="3">
        <v>282</v>
      </c>
      <c r="H223" s="33">
        <v>0</v>
      </c>
      <c r="I223" s="33">
        <v>0</v>
      </c>
      <c r="J223" s="33">
        <v>0</v>
      </c>
      <c r="K223" s="33">
        <v>0</v>
      </c>
      <c r="L223" s="33">
        <v>0</v>
      </c>
      <c r="M223" s="33">
        <v>0</v>
      </c>
      <c r="N223" s="33">
        <v>0</v>
      </c>
      <c r="O223" s="3">
        <v>4348</v>
      </c>
      <c r="P223" s="33">
        <v>0</v>
      </c>
      <c r="Q223" s="3">
        <v>2747</v>
      </c>
      <c r="R223" s="3">
        <v>5183</v>
      </c>
      <c r="S223" s="33">
        <v>0</v>
      </c>
      <c r="T223" s="33">
        <v>0</v>
      </c>
      <c r="U223" s="33">
        <v>0</v>
      </c>
      <c r="V223" s="3">
        <v>68</v>
      </c>
      <c r="W223" s="3">
        <v>25722</v>
      </c>
      <c r="X223" s="13">
        <f t="shared" si="21"/>
        <v>17303</v>
      </c>
      <c r="Y223" s="13">
        <f t="shared" si="22"/>
        <v>25722</v>
      </c>
      <c r="Z223" s="13">
        <f t="shared" si="23"/>
        <v>68</v>
      </c>
      <c r="AA223" s="13">
        <f t="shared" si="24"/>
        <v>168323</v>
      </c>
      <c r="AB223" s="13">
        <f t="shared" si="25"/>
        <v>188515</v>
      </c>
      <c r="AC223" s="13">
        <f t="shared" si="26"/>
        <v>137</v>
      </c>
    </row>
    <row r="224" spans="1:29" x14ac:dyDescent="0.25">
      <c r="A224" s="32" t="s">
        <v>65</v>
      </c>
      <c r="B224" s="2">
        <v>14</v>
      </c>
      <c r="C224" s="2" t="s">
        <v>79</v>
      </c>
      <c r="D224" s="33">
        <v>0</v>
      </c>
      <c r="E224" s="33">
        <v>0</v>
      </c>
      <c r="F224" s="3">
        <v>4113</v>
      </c>
      <c r="G224" s="3">
        <v>168</v>
      </c>
      <c r="H224" s="33">
        <v>0</v>
      </c>
      <c r="I224" s="33">
        <v>0</v>
      </c>
      <c r="J224" s="33">
        <v>0</v>
      </c>
      <c r="K224" s="33">
        <v>0</v>
      </c>
      <c r="L224" s="33">
        <v>0</v>
      </c>
      <c r="M224" s="33">
        <v>0</v>
      </c>
      <c r="N224" s="33">
        <v>0</v>
      </c>
      <c r="O224" s="3">
        <v>2106</v>
      </c>
      <c r="P224" s="33">
        <v>0</v>
      </c>
      <c r="Q224" s="3">
        <v>2385</v>
      </c>
      <c r="R224" s="3">
        <v>4642</v>
      </c>
      <c r="S224" s="33">
        <v>0</v>
      </c>
      <c r="T224" s="33">
        <v>0</v>
      </c>
      <c r="U224" s="33">
        <v>0</v>
      </c>
      <c r="V224" s="3">
        <v>0</v>
      </c>
      <c r="W224" s="3">
        <v>13406</v>
      </c>
      <c r="X224" s="13">
        <f t="shared" si="21"/>
        <v>13414</v>
      </c>
      <c r="Y224" s="13">
        <f t="shared" si="22"/>
        <v>13406</v>
      </c>
      <c r="Z224" s="13">
        <f t="shared" si="23"/>
        <v>0</v>
      </c>
      <c r="AA224" s="13">
        <f t="shared" si="24"/>
        <v>181737</v>
      </c>
      <c r="AB224" s="13">
        <f t="shared" si="25"/>
        <v>201921</v>
      </c>
      <c r="AC224" s="13">
        <f t="shared" si="26"/>
        <v>137</v>
      </c>
    </row>
    <row r="225" spans="1:29" x14ac:dyDescent="0.25">
      <c r="A225" s="32" t="s">
        <v>65</v>
      </c>
      <c r="B225" s="2">
        <v>15</v>
      </c>
      <c r="C225" s="2" t="s">
        <v>80</v>
      </c>
      <c r="D225" s="33">
        <v>0</v>
      </c>
      <c r="E225" s="33">
        <v>0</v>
      </c>
      <c r="F225" s="3">
        <v>3944</v>
      </c>
      <c r="G225" s="3">
        <v>137</v>
      </c>
      <c r="H225" s="33">
        <v>0</v>
      </c>
      <c r="I225" s="33">
        <v>0</v>
      </c>
      <c r="J225" s="33">
        <v>0</v>
      </c>
      <c r="K225" s="33">
        <v>0</v>
      </c>
      <c r="L225" s="33">
        <v>0</v>
      </c>
      <c r="M225" s="33">
        <v>0</v>
      </c>
      <c r="N225" s="33">
        <v>0</v>
      </c>
      <c r="O225" s="3">
        <v>1977</v>
      </c>
      <c r="P225" s="33">
        <v>0</v>
      </c>
      <c r="Q225" s="3">
        <v>2613</v>
      </c>
      <c r="R225" s="3">
        <v>3892</v>
      </c>
      <c r="S225" s="33">
        <v>0</v>
      </c>
      <c r="T225" s="33">
        <v>0</v>
      </c>
      <c r="U225" s="33">
        <v>0</v>
      </c>
      <c r="V225" s="3">
        <v>0</v>
      </c>
      <c r="W225" s="3">
        <v>12036</v>
      </c>
      <c r="X225" s="13">
        <f t="shared" si="21"/>
        <v>12563</v>
      </c>
      <c r="Y225" s="13">
        <f t="shared" si="22"/>
        <v>12036</v>
      </c>
      <c r="Z225" s="13">
        <f t="shared" si="23"/>
        <v>0</v>
      </c>
      <c r="AA225" s="13">
        <f t="shared" si="24"/>
        <v>194300</v>
      </c>
      <c r="AB225" s="13">
        <f t="shared" si="25"/>
        <v>213957</v>
      </c>
      <c r="AC225" s="13">
        <f t="shared" si="26"/>
        <v>137</v>
      </c>
    </row>
    <row r="226" spans="1:29" x14ac:dyDescent="0.25">
      <c r="A226" s="32" t="s">
        <v>65</v>
      </c>
      <c r="B226" s="2">
        <v>16</v>
      </c>
      <c r="C226" s="2" t="s">
        <v>81</v>
      </c>
      <c r="D226" s="33">
        <v>0</v>
      </c>
      <c r="E226" s="33">
        <v>0</v>
      </c>
      <c r="F226" s="3">
        <v>4496</v>
      </c>
      <c r="G226" s="3">
        <v>971</v>
      </c>
      <c r="H226" s="33">
        <v>0</v>
      </c>
      <c r="I226" s="33">
        <v>0</v>
      </c>
      <c r="J226" s="33">
        <v>0</v>
      </c>
      <c r="K226" s="33">
        <v>0</v>
      </c>
      <c r="L226" s="33">
        <v>0</v>
      </c>
      <c r="M226" s="33">
        <v>0</v>
      </c>
      <c r="N226" s="33">
        <v>0</v>
      </c>
      <c r="O226" s="3">
        <v>2490</v>
      </c>
      <c r="P226" s="33">
        <v>0</v>
      </c>
      <c r="Q226" s="3">
        <v>2451</v>
      </c>
      <c r="R226" s="3">
        <v>4968</v>
      </c>
      <c r="S226" s="33">
        <v>0</v>
      </c>
      <c r="T226" s="33">
        <v>0</v>
      </c>
      <c r="U226" s="33">
        <v>0</v>
      </c>
      <c r="V226" s="3">
        <v>0</v>
      </c>
      <c r="W226" s="3">
        <v>18884</v>
      </c>
      <c r="X226" s="13">
        <f t="shared" si="21"/>
        <v>15376</v>
      </c>
      <c r="Y226" s="13">
        <f t="shared" si="22"/>
        <v>18884</v>
      </c>
      <c r="Z226" s="13">
        <f t="shared" si="23"/>
        <v>0</v>
      </c>
      <c r="AA226" s="13">
        <f t="shared" si="24"/>
        <v>209676</v>
      </c>
      <c r="AB226" s="13">
        <f t="shared" si="25"/>
        <v>232841</v>
      </c>
      <c r="AC226" s="13">
        <f t="shared" si="26"/>
        <v>137</v>
      </c>
    </row>
    <row r="227" spans="1:29" x14ac:dyDescent="0.25">
      <c r="A227" s="32" t="s">
        <v>65</v>
      </c>
      <c r="B227" s="2">
        <v>17</v>
      </c>
      <c r="C227" s="2" t="s">
        <v>82</v>
      </c>
      <c r="D227" s="33">
        <v>0</v>
      </c>
      <c r="E227" s="33">
        <v>0</v>
      </c>
      <c r="F227" s="3">
        <v>4904</v>
      </c>
      <c r="G227" s="3">
        <v>0</v>
      </c>
      <c r="H227" s="33">
        <v>0</v>
      </c>
      <c r="I227" s="33">
        <v>0</v>
      </c>
      <c r="J227" s="33">
        <v>0</v>
      </c>
      <c r="K227" s="33">
        <v>0</v>
      </c>
      <c r="L227" s="33">
        <v>0</v>
      </c>
      <c r="M227" s="33">
        <v>0</v>
      </c>
      <c r="N227" s="33">
        <v>0</v>
      </c>
      <c r="O227" s="3">
        <v>2390</v>
      </c>
      <c r="P227" s="33">
        <v>0</v>
      </c>
      <c r="Q227" s="3">
        <v>1821</v>
      </c>
      <c r="R227" s="3">
        <v>4926</v>
      </c>
      <c r="S227" s="33">
        <v>0</v>
      </c>
      <c r="T227" s="33">
        <v>0</v>
      </c>
      <c r="U227" s="33">
        <v>0</v>
      </c>
      <c r="V227" s="3">
        <v>0</v>
      </c>
      <c r="W227" s="3">
        <v>17422</v>
      </c>
      <c r="X227" s="13">
        <f t="shared" si="21"/>
        <v>14041</v>
      </c>
      <c r="Y227" s="13">
        <f t="shared" si="22"/>
        <v>17422</v>
      </c>
      <c r="Z227" s="13">
        <f t="shared" si="23"/>
        <v>0</v>
      </c>
      <c r="AA227" s="13">
        <f t="shared" si="24"/>
        <v>223717</v>
      </c>
      <c r="AB227" s="13">
        <f t="shared" si="25"/>
        <v>250263</v>
      </c>
      <c r="AC227" s="13">
        <f t="shared" si="26"/>
        <v>137</v>
      </c>
    </row>
    <row r="228" spans="1:29" x14ac:dyDescent="0.25">
      <c r="A228" s="32" t="s">
        <v>65</v>
      </c>
      <c r="B228" s="2">
        <v>18</v>
      </c>
      <c r="C228" s="2" t="s">
        <v>83</v>
      </c>
      <c r="D228" s="33">
        <v>0</v>
      </c>
      <c r="E228" s="33">
        <v>0</v>
      </c>
      <c r="F228" s="3">
        <v>3242</v>
      </c>
      <c r="G228" s="3">
        <v>1048</v>
      </c>
      <c r="H228" s="33">
        <v>0</v>
      </c>
      <c r="I228" s="33">
        <v>0</v>
      </c>
      <c r="J228" s="33">
        <v>0</v>
      </c>
      <c r="K228" s="33">
        <v>0</v>
      </c>
      <c r="L228" s="33">
        <v>0</v>
      </c>
      <c r="M228" s="33">
        <v>0</v>
      </c>
      <c r="N228" s="33">
        <v>0</v>
      </c>
      <c r="O228" s="3">
        <v>2184</v>
      </c>
      <c r="P228" s="33">
        <v>0</v>
      </c>
      <c r="Q228" s="3">
        <v>1487</v>
      </c>
      <c r="R228" s="3">
        <v>3022</v>
      </c>
      <c r="S228" s="33">
        <v>0</v>
      </c>
      <c r="T228" s="33">
        <v>0</v>
      </c>
      <c r="U228" s="33">
        <v>0</v>
      </c>
      <c r="V228" s="3">
        <v>0</v>
      </c>
      <c r="W228" s="3">
        <v>24985</v>
      </c>
      <c r="X228" s="13">
        <f t="shared" si="21"/>
        <v>10983</v>
      </c>
      <c r="Y228" s="13">
        <f t="shared" si="22"/>
        <v>24985</v>
      </c>
      <c r="Z228" s="13">
        <f t="shared" si="23"/>
        <v>0</v>
      </c>
      <c r="AA228" s="13">
        <f t="shared" si="24"/>
        <v>234700</v>
      </c>
      <c r="AB228" s="13">
        <f t="shared" si="25"/>
        <v>275248</v>
      </c>
      <c r="AC228" s="13">
        <f t="shared" si="26"/>
        <v>137</v>
      </c>
    </row>
    <row r="229" spans="1:29" x14ac:dyDescent="0.25">
      <c r="A229" s="32" t="s">
        <v>65</v>
      </c>
      <c r="B229" s="2">
        <v>19</v>
      </c>
      <c r="C229" s="2" t="s">
        <v>84</v>
      </c>
      <c r="D229" s="33">
        <v>0</v>
      </c>
      <c r="E229" s="33">
        <v>0</v>
      </c>
      <c r="F229" s="3">
        <v>1666</v>
      </c>
      <c r="G229" s="3">
        <v>1095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">
        <v>1031</v>
      </c>
      <c r="P229" s="33">
        <v>0</v>
      </c>
      <c r="Q229" s="3">
        <v>1671</v>
      </c>
      <c r="R229" s="3">
        <v>3266</v>
      </c>
      <c r="S229" s="33">
        <v>0</v>
      </c>
      <c r="T229" s="33">
        <v>0</v>
      </c>
      <c r="U229" s="33">
        <v>0</v>
      </c>
      <c r="V229" s="3">
        <v>0</v>
      </c>
      <c r="W229" s="3">
        <v>16022</v>
      </c>
      <c r="X229" s="13">
        <f t="shared" si="21"/>
        <v>8729</v>
      </c>
      <c r="Y229" s="13">
        <f t="shared" si="22"/>
        <v>16022</v>
      </c>
      <c r="Z229" s="13">
        <f t="shared" si="23"/>
        <v>0</v>
      </c>
      <c r="AA229" s="13">
        <f t="shared" si="24"/>
        <v>243429</v>
      </c>
      <c r="AB229" s="13">
        <f t="shared" si="25"/>
        <v>291270</v>
      </c>
      <c r="AC229" s="13">
        <f t="shared" si="26"/>
        <v>137</v>
      </c>
    </row>
    <row r="230" spans="1:29" x14ac:dyDescent="0.25">
      <c r="A230" s="32" t="s">
        <v>65</v>
      </c>
      <c r="B230" s="2">
        <v>20</v>
      </c>
      <c r="C230" s="2" t="s">
        <v>85</v>
      </c>
      <c r="D230" s="33">
        <v>0</v>
      </c>
      <c r="E230" s="33">
        <v>0</v>
      </c>
      <c r="F230" s="3">
        <v>3178</v>
      </c>
      <c r="G230" s="3">
        <v>2347</v>
      </c>
      <c r="H230" s="33">
        <v>0</v>
      </c>
      <c r="I230" s="33">
        <v>0</v>
      </c>
      <c r="J230" s="33">
        <v>0</v>
      </c>
      <c r="K230" s="33">
        <v>0</v>
      </c>
      <c r="L230" s="33">
        <v>0</v>
      </c>
      <c r="M230" s="33">
        <v>0</v>
      </c>
      <c r="N230" s="33">
        <v>0</v>
      </c>
      <c r="O230" s="3">
        <v>1533</v>
      </c>
      <c r="P230" s="33">
        <v>0</v>
      </c>
      <c r="Q230" s="3">
        <v>789</v>
      </c>
      <c r="R230" s="3">
        <v>3350</v>
      </c>
      <c r="S230" s="33">
        <v>0</v>
      </c>
      <c r="T230" s="33">
        <v>0</v>
      </c>
      <c r="U230" s="33">
        <v>0</v>
      </c>
      <c r="V230" s="3">
        <v>0</v>
      </c>
      <c r="W230" s="3">
        <v>16350</v>
      </c>
      <c r="X230" s="13">
        <f t="shared" si="21"/>
        <v>11197</v>
      </c>
      <c r="Y230" s="13">
        <f t="shared" si="22"/>
        <v>16350</v>
      </c>
      <c r="Z230" s="13">
        <f t="shared" si="23"/>
        <v>0</v>
      </c>
      <c r="AA230" s="13">
        <f t="shared" si="24"/>
        <v>254626</v>
      </c>
      <c r="AB230" s="13">
        <f t="shared" si="25"/>
        <v>307620</v>
      </c>
      <c r="AC230" s="13">
        <f t="shared" si="26"/>
        <v>137</v>
      </c>
    </row>
    <row r="231" spans="1:29" x14ac:dyDescent="0.25">
      <c r="A231" s="32" t="s">
        <v>65</v>
      </c>
      <c r="B231" s="2">
        <v>21</v>
      </c>
      <c r="C231" s="2" t="s">
        <v>86</v>
      </c>
      <c r="D231" s="33">
        <v>0</v>
      </c>
      <c r="E231" s="33">
        <v>0</v>
      </c>
      <c r="F231" s="3">
        <v>3222</v>
      </c>
      <c r="G231" s="3">
        <v>1528</v>
      </c>
      <c r="H231" s="33">
        <v>0</v>
      </c>
      <c r="I231" s="33">
        <v>0</v>
      </c>
      <c r="J231" s="33">
        <v>0</v>
      </c>
      <c r="K231" s="33">
        <v>0</v>
      </c>
      <c r="L231" s="33">
        <v>0</v>
      </c>
      <c r="M231" s="33">
        <v>0</v>
      </c>
      <c r="N231" s="33">
        <v>0</v>
      </c>
      <c r="O231" s="3">
        <v>569</v>
      </c>
      <c r="P231" s="33">
        <v>0</v>
      </c>
      <c r="Q231" s="3">
        <v>689</v>
      </c>
      <c r="R231" s="3">
        <v>5156</v>
      </c>
      <c r="S231" s="33">
        <v>0</v>
      </c>
      <c r="T231" s="33">
        <v>0</v>
      </c>
      <c r="U231" s="33">
        <v>0</v>
      </c>
      <c r="V231" s="3">
        <v>0</v>
      </c>
      <c r="W231" s="3">
        <v>16812</v>
      </c>
      <c r="X231" s="13">
        <f t="shared" si="21"/>
        <v>11164</v>
      </c>
      <c r="Y231" s="13">
        <f t="shared" si="22"/>
        <v>16812</v>
      </c>
      <c r="Z231" s="13">
        <f t="shared" si="23"/>
        <v>0</v>
      </c>
      <c r="AA231" s="13">
        <f t="shared" si="24"/>
        <v>265790</v>
      </c>
      <c r="AB231" s="13">
        <f t="shared" si="25"/>
        <v>324432</v>
      </c>
      <c r="AC231" s="13">
        <f t="shared" si="26"/>
        <v>137</v>
      </c>
    </row>
    <row r="232" spans="1:29" x14ac:dyDescent="0.25">
      <c r="A232" s="32" t="s">
        <v>65</v>
      </c>
      <c r="B232" s="2">
        <v>22</v>
      </c>
      <c r="C232" s="2" t="s">
        <v>87</v>
      </c>
      <c r="D232" s="33">
        <v>0</v>
      </c>
      <c r="E232" s="33">
        <v>0</v>
      </c>
      <c r="F232" s="3">
        <v>3197</v>
      </c>
      <c r="G232" s="3">
        <v>325</v>
      </c>
      <c r="H232" s="33">
        <v>0</v>
      </c>
      <c r="I232" s="33">
        <v>0</v>
      </c>
      <c r="J232" s="33">
        <v>0</v>
      </c>
      <c r="K232" s="33">
        <v>0</v>
      </c>
      <c r="L232" s="33">
        <v>0</v>
      </c>
      <c r="M232" s="33">
        <v>0</v>
      </c>
      <c r="N232" s="33">
        <v>0</v>
      </c>
      <c r="O232" s="3">
        <v>72</v>
      </c>
      <c r="P232" s="33">
        <v>0</v>
      </c>
      <c r="Q232" s="3">
        <v>1294</v>
      </c>
      <c r="R232" s="3">
        <v>4965</v>
      </c>
      <c r="S232" s="33">
        <v>0</v>
      </c>
      <c r="T232" s="33">
        <v>0</v>
      </c>
      <c r="U232" s="33">
        <v>0</v>
      </c>
      <c r="V232" s="3">
        <v>0</v>
      </c>
      <c r="W232" s="3">
        <v>14535</v>
      </c>
      <c r="X232" s="13">
        <f t="shared" si="21"/>
        <v>9853</v>
      </c>
      <c r="Y232" s="13">
        <f t="shared" si="22"/>
        <v>14535</v>
      </c>
      <c r="Z232" s="13">
        <f t="shared" si="23"/>
        <v>0</v>
      </c>
      <c r="AA232" s="13">
        <f t="shared" si="24"/>
        <v>275643</v>
      </c>
      <c r="AB232" s="13">
        <f t="shared" si="25"/>
        <v>338967</v>
      </c>
      <c r="AC232" s="13">
        <f t="shared" si="26"/>
        <v>137</v>
      </c>
    </row>
    <row r="233" spans="1:29" x14ac:dyDescent="0.25">
      <c r="A233" s="32" t="s">
        <v>65</v>
      </c>
      <c r="B233" s="2">
        <v>23</v>
      </c>
      <c r="C233" s="2" t="s">
        <v>88</v>
      </c>
      <c r="D233" s="33">
        <v>0</v>
      </c>
      <c r="E233" s="33">
        <v>0</v>
      </c>
      <c r="F233" s="3">
        <v>4695</v>
      </c>
      <c r="G233" s="3">
        <v>2273</v>
      </c>
      <c r="H233" s="33">
        <v>0</v>
      </c>
      <c r="I233" s="33">
        <v>0</v>
      </c>
      <c r="J233" s="33">
        <v>0</v>
      </c>
      <c r="K233" s="33">
        <v>0</v>
      </c>
      <c r="L233" s="33">
        <v>0</v>
      </c>
      <c r="M233" s="33">
        <v>0</v>
      </c>
      <c r="N233" s="33">
        <v>0</v>
      </c>
      <c r="O233" s="3">
        <v>1003</v>
      </c>
      <c r="P233" s="33">
        <v>0</v>
      </c>
      <c r="Q233" s="3">
        <v>686</v>
      </c>
      <c r="R233" s="3">
        <v>5922</v>
      </c>
      <c r="S233" s="33">
        <v>0</v>
      </c>
      <c r="T233" s="33">
        <v>0</v>
      </c>
      <c r="U233" s="33">
        <v>0</v>
      </c>
      <c r="V233" s="3">
        <v>0</v>
      </c>
      <c r="W233" s="3">
        <v>15059</v>
      </c>
      <c r="X233" s="13">
        <f t="shared" si="21"/>
        <v>14579</v>
      </c>
      <c r="Y233" s="13">
        <f t="shared" si="22"/>
        <v>15059</v>
      </c>
      <c r="Z233" s="13">
        <f t="shared" si="23"/>
        <v>0</v>
      </c>
      <c r="AA233" s="13">
        <f t="shared" si="24"/>
        <v>290222</v>
      </c>
      <c r="AB233" s="13">
        <f t="shared" si="25"/>
        <v>354026</v>
      </c>
      <c r="AC233" s="13">
        <f t="shared" si="26"/>
        <v>137</v>
      </c>
    </row>
    <row r="234" spans="1:29" x14ac:dyDescent="0.25">
      <c r="A234" s="32" t="s">
        <v>65</v>
      </c>
      <c r="B234" s="2">
        <v>24</v>
      </c>
      <c r="C234" s="2" t="s">
        <v>89</v>
      </c>
      <c r="D234" s="33">
        <v>0</v>
      </c>
      <c r="E234" s="33">
        <v>0</v>
      </c>
      <c r="F234" s="3">
        <v>3479</v>
      </c>
      <c r="G234" s="3">
        <v>927</v>
      </c>
      <c r="H234" s="33">
        <v>0</v>
      </c>
      <c r="I234" s="33">
        <v>0</v>
      </c>
      <c r="J234" s="33">
        <v>0</v>
      </c>
      <c r="K234" s="33">
        <v>0</v>
      </c>
      <c r="L234" s="33">
        <v>0</v>
      </c>
      <c r="M234" s="33">
        <v>0</v>
      </c>
      <c r="N234" s="33">
        <v>0</v>
      </c>
      <c r="O234" s="3">
        <v>1230</v>
      </c>
      <c r="P234" s="33">
        <v>0</v>
      </c>
      <c r="Q234" s="3">
        <v>12560</v>
      </c>
      <c r="R234" s="3">
        <v>6113</v>
      </c>
      <c r="S234" s="33">
        <v>0</v>
      </c>
      <c r="T234" s="33">
        <v>0</v>
      </c>
      <c r="U234" s="33">
        <v>0</v>
      </c>
      <c r="V234" s="3">
        <v>0</v>
      </c>
      <c r="W234" s="3">
        <v>16919</v>
      </c>
      <c r="X234" s="13">
        <f t="shared" si="21"/>
        <v>24309</v>
      </c>
      <c r="Y234" s="13">
        <f t="shared" si="22"/>
        <v>16919</v>
      </c>
      <c r="Z234" s="13">
        <f t="shared" si="23"/>
        <v>0</v>
      </c>
      <c r="AA234" s="13">
        <f t="shared" si="24"/>
        <v>314531</v>
      </c>
      <c r="AB234" s="13">
        <f t="shared" si="25"/>
        <v>370945</v>
      </c>
      <c r="AC234" s="13">
        <f t="shared" si="26"/>
        <v>137</v>
      </c>
    </row>
    <row r="235" spans="1:29" x14ac:dyDescent="0.25">
      <c r="A235" s="32" t="s">
        <v>65</v>
      </c>
      <c r="B235" s="2">
        <v>25</v>
      </c>
      <c r="C235" s="2" t="s">
        <v>90</v>
      </c>
      <c r="D235" s="33">
        <v>0</v>
      </c>
      <c r="E235" s="33">
        <v>0</v>
      </c>
      <c r="F235" s="3">
        <v>3145</v>
      </c>
      <c r="G235" s="3">
        <v>994</v>
      </c>
      <c r="H235" s="33">
        <v>0</v>
      </c>
      <c r="I235" s="33">
        <v>0</v>
      </c>
      <c r="J235" s="33">
        <v>0</v>
      </c>
      <c r="K235" s="33">
        <v>0</v>
      </c>
      <c r="L235" s="33">
        <v>0</v>
      </c>
      <c r="M235" s="33">
        <v>0</v>
      </c>
      <c r="N235" s="33">
        <v>0</v>
      </c>
      <c r="O235" s="3">
        <v>1719</v>
      </c>
      <c r="P235" s="33">
        <v>0</v>
      </c>
      <c r="Q235" s="3">
        <v>1279</v>
      </c>
      <c r="R235" s="3">
        <v>5702</v>
      </c>
      <c r="S235" s="33">
        <v>0</v>
      </c>
      <c r="T235" s="33">
        <v>0</v>
      </c>
      <c r="U235" s="33">
        <v>0</v>
      </c>
      <c r="V235" s="3">
        <v>0</v>
      </c>
      <c r="W235" s="3">
        <v>18619</v>
      </c>
      <c r="X235" s="13">
        <f t="shared" si="21"/>
        <v>12839</v>
      </c>
      <c r="Y235" s="13">
        <f t="shared" si="22"/>
        <v>18619</v>
      </c>
      <c r="Z235" s="13">
        <f t="shared" si="23"/>
        <v>0</v>
      </c>
      <c r="AA235" s="13">
        <f t="shared" si="24"/>
        <v>327370</v>
      </c>
      <c r="AB235" s="13">
        <f t="shared" si="25"/>
        <v>389564</v>
      </c>
      <c r="AC235" s="13">
        <f t="shared" si="26"/>
        <v>137</v>
      </c>
    </row>
    <row r="236" spans="1:29" x14ac:dyDescent="0.25">
      <c r="A236" s="32" t="s">
        <v>65</v>
      </c>
      <c r="B236" s="2">
        <v>26</v>
      </c>
      <c r="C236" s="2" t="s">
        <v>91</v>
      </c>
      <c r="D236" s="33">
        <v>0</v>
      </c>
      <c r="E236" s="33">
        <v>0</v>
      </c>
      <c r="F236" s="3">
        <v>5610</v>
      </c>
      <c r="G236" s="3">
        <v>1001</v>
      </c>
      <c r="H236" s="33">
        <v>0</v>
      </c>
      <c r="I236" s="33">
        <v>0</v>
      </c>
      <c r="J236" s="33">
        <v>0</v>
      </c>
      <c r="K236" s="33">
        <v>0</v>
      </c>
      <c r="L236" s="33">
        <v>0</v>
      </c>
      <c r="M236" s="33">
        <v>0</v>
      </c>
      <c r="N236" s="33">
        <v>0</v>
      </c>
      <c r="O236" s="3">
        <v>1937</v>
      </c>
      <c r="P236" s="33">
        <v>0</v>
      </c>
      <c r="Q236" s="3">
        <v>681</v>
      </c>
      <c r="R236" s="3">
        <v>6621</v>
      </c>
      <c r="S236" s="33">
        <v>0</v>
      </c>
      <c r="T236" s="33">
        <v>0</v>
      </c>
      <c r="U236" s="33">
        <v>0</v>
      </c>
      <c r="V236" s="3">
        <v>0</v>
      </c>
      <c r="W236" s="3">
        <v>16537</v>
      </c>
      <c r="X236" s="13">
        <f t="shared" si="21"/>
        <v>15850</v>
      </c>
      <c r="Y236" s="13">
        <f t="shared" si="22"/>
        <v>16537</v>
      </c>
      <c r="Z236" s="13">
        <f t="shared" si="23"/>
        <v>0</v>
      </c>
      <c r="AA236" s="13">
        <f t="shared" si="24"/>
        <v>343220</v>
      </c>
      <c r="AB236" s="13">
        <f t="shared" si="25"/>
        <v>406101</v>
      </c>
      <c r="AC236" s="13">
        <f t="shared" si="26"/>
        <v>137</v>
      </c>
    </row>
    <row r="237" spans="1:29" x14ac:dyDescent="0.25">
      <c r="A237" s="32" t="s">
        <v>65</v>
      </c>
      <c r="B237" s="2">
        <v>27</v>
      </c>
      <c r="C237" s="2" t="s">
        <v>92</v>
      </c>
      <c r="D237" s="33">
        <v>0</v>
      </c>
      <c r="E237" s="33">
        <v>0</v>
      </c>
      <c r="F237" s="3">
        <v>312</v>
      </c>
      <c r="G237" s="3">
        <v>912</v>
      </c>
      <c r="H237" s="33">
        <v>0</v>
      </c>
      <c r="I237" s="33">
        <v>0</v>
      </c>
      <c r="J237" s="33">
        <v>0</v>
      </c>
      <c r="K237" s="33">
        <v>0</v>
      </c>
      <c r="L237" s="33">
        <v>0</v>
      </c>
      <c r="M237" s="33">
        <v>0</v>
      </c>
      <c r="N237" s="33">
        <v>0</v>
      </c>
      <c r="O237" s="3">
        <v>1723</v>
      </c>
      <c r="P237" s="33">
        <v>0</v>
      </c>
      <c r="Q237" s="3">
        <v>561</v>
      </c>
      <c r="R237" s="3">
        <v>5446</v>
      </c>
      <c r="S237" s="33">
        <v>0</v>
      </c>
      <c r="T237" s="33">
        <v>0</v>
      </c>
      <c r="U237" s="33">
        <v>0</v>
      </c>
      <c r="V237" s="3">
        <v>0</v>
      </c>
      <c r="W237" s="3">
        <v>13175</v>
      </c>
      <c r="X237" s="13">
        <f t="shared" si="21"/>
        <v>8954</v>
      </c>
      <c r="Y237" s="13">
        <f t="shared" si="22"/>
        <v>13175</v>
      </c>
      <c r="Z237" s="13">
        <f t="shared" si="23"/>
        <v>0</v>
      </c>
      <c r="AA237" s="13">
        <f t="shared" si="24"/>
        <v>352174</v>
      </c>
      <c r="AB237" s="13">
        <f t="shared" si="25"/>
        <v>419276</v>
      </c>
      <c r="AC237" s="13">
        <f t="shared" si="26"/>
        <v>137</v>
      </c>
    </row>
    <row r="238" spans="1:29" x14ac:dyDescent="0.25">
      <c r="A238" s="32" t="s">
        <v>65</v>
      </c>
      <c r="B238" s="2">
        <v>28</v>
      </c>
      <c r="C238" s="2" t="s">
        <v>93</v>
      </c>
      <c r="D238" s="33">
        <v>0</v>
      </c>
      <c r="E238" s="33">
        <v>0</v>
      </c>
      <c r="F238" s="3">
        <v>2750</v>
      </c>
      <c r="G238" s="3">
        <v>979</v>
      </c>
      <c r="H238" s="33">
        <v>0</v>
      </c>
      <c r="I238" s="33">
        <v>0</v>
      </c>
      <c r="J238" s="33">
        <v>0</v>
      </c>
      <c r="K238" s="33">
        <v>0</v>
      </c>
      <c r="L238" s="33">
        <v>0</v>
      </c>
      <c r="M238" s="33">
        <v>0</v>
      </c>
      <c r="N238" s="33">
        <v>0</v>
      </c>
      <c r="O238" s="3">
        <v>618</v>
      </c>
      <c r="P238" s="33">
        <v>0</v>
      </c>
      <c r="Q238" s="3">
        <v>179</v>
      </c>
      <c r="R238" s="3">
        <v>4580</v>
      </c>
      <c r="S238" s="33">
        <v>0</v>
      </c>
      <c r="T238" s="33">
        <v>0</v>
      </c>
      <c r="U238" s="33">
        <v>0</v>
      </c>
      <c r="V238" s="3">
        <v>0</v>
      </c>
      <c r="W238" s="3">
        <v>17109</v>
      </c>
      <c r="X238" s="13">
        <f t="shared" si="21"/>
        <v>9106</v>
      </c>
      <c r="Y238" s="13">
        <f t="shared" si="22"/>
        <v>17109</v>
      </c>
      <c r="Z238" s="13">
        <f t="shared" si="23"/>
        <v>0</v>
      </c>
      <c r="AA238" s="13">
        <f t="shared" si="24"/>
        <v>361280</v>
      </c>
      <c r="AB238" s="13">
        <f t="shared" si="25"/>
        <v>436385</v>
      </c>
      <c r="AC238" s="13">
        <f t="shared" si="26"/>
        <v>137</v>
      </c>
    </row>
    <row r="239" spans="1:29" x14ac:dyDescent="0.25">
      <c r="A239" s="32" t="s">
        <v>65</v>
      </c>
      <c r="B239" s="2">
        <v>29</v>
      </c>
      <c r="C239" s="2" t="s">
        <v>94</v>
      </c>
      <c r="D239" s="33">
        <v>0</v>
      </c>
      <c r="E239" s="33">
        <v>0</v>
      </c>
      <c r="F239" s="3">
        <v>4043</v>
      </c>
      <c r="G239" s="3">
        <v>1297</v>
      </c>
      <c r="H239" s="33">
        <v>0</v>
      </c>
      <c r="I239" s="33">
        <v>0</v>
      </c>
      <c r="J239" s="33">
        <v>0</v>
      </c>
      <c r="K239" s="33">
        <v>0</v>
      </c>
      <c r="L239" s="33">
        <v>0</v>
      </c>
      <c r="M239" s="33">
        <v>0</v>
      </c>
      <c r="N239" s="33">
        <v>0</v>
      </c>
      <c r="O239" s="3">
        <v>653</v>
      </c>
      <c r="P239" s="33">
        <v>0</v>
      </c>
      <c r="Q239" s="3">
        <v>681</v>
      </c>
      <c r="R239" s="3">
        <v>4505</v>
      </c>
      <c r="S239" s="33">
        <v>0</v>
      </c>
      <c r="T239" s="33">
        <v>0</v>
      </c>
      <c r="U239" s="33">
        <v>0</v>
      </c>
      <c r="V239" s="3">
        <v>0</v>
      </c>
      <c r="W239" s="3">
        <v>15931</v>
      </c>
      <c r="X239" s="13">
        <f t="shared" si="21"/>
        <v>11179</v>
      </c>
      <c r="Y239" s="13">
        <f t="shared" si="22"/>
        <v>15931</v>
      </c>
      <c r="Z239" s="13">
        <f t="shared" si="23"/>
        <v>0</v>
      </c>
      <c r="AA239" s="13">
        <f t="shared" si="24"/>
        <v>372459</v>
      </c>
      <c r="AB239" s="13">
        <f t="shared" si="25"/>
        <v>452316</v>
      </c>
      <c r="AC239" s="13">
        <f t="shared" si="26"/>
        <v>137</v>
      </c>
    </row>
    <row r="240" spans="1:29" x14ac:dyDescent="0.25">
      <c r="A240" s="32" t="s">
        <v>65</v>
      </c>
      <c r="B240" s="2">
        <v>30</v>
      </c>
      <c r="C240" s="2" t="s">
        <v>95</v>
      </c>
      <c r="D240" s="33">
        <v>0</v>
      </c>
      <c r="E240" s="33">
        <v>0</v>
      </c>
      <c r="F240" s="3">
        <v>3140</v>
      </c>
      <c r="G240" s="3">
        <v>1381</v>
      </c>
      <c r="H240" s="33">
        <v>0</v>
      </c>
      <c r="I240" s="33">
        <v>0</v>
      </c>
      <c r="J240" s="33">
        <v>0</v>
      </c>
      <c r="K240" s="33">
        <v>0</v>
      </c>
      <c r="L240" s="33">
        <v>0</v>
      </c>
      <c r="M240" s="33">
        <v>0</v>
      </c>
      <c r="N240" s="33">
        <v>0</v>
      </c>
      <c r="O240" s="3">
        <v>507</v>
      </c>
      <c r="P240" s="33">
        <v>0</v>
      </c>
      <c r="Q240" s="3">
        <v>3351</v>
      </c>
      <c r="R240" s="3">
        <v>4601</v>
      </c>
      <c r="S240" s="33">
        <v>0</v>
      </c>
      <c r="T240" s="33">
        <v>0</v>
      </c>
      <c r="U240" s="33">
        <v>0</v>
      </c>
      <c r="V240" s="3">
        <v>0</v>
      </c>
      <c r="W240" s="3">
        <v>18548</v>
      </c>
      <c r="X240" s="13">
        <f t="shared" si="21"/>
        <v>12980</v>
      </c>
      <c r="Y240" s="13">
        <f t="shared" si="22"/>
        <v>18548</v>
      </c>
      <c r="Z240" s="13">
        <f t="shared" si="23"/>
        <v>0</v>
      </c>
      <c r="AA240" s="13">
        <f t="shared" si="24"/>
        <v>385439</v>
      </c>
      <c r="AB240" s="13">
        <f t="shared" si="25"/>
        <v>470864</v>
      </c>
      <c r="AC240" s="13">
        <f t="shared" si="26"/>
        <v>137</v>
      </c>
    </row>
    <row r="241" spans="1:29" x14ac:dyDescent="0.25">
      <c r="A241" s="32" t="s">
        <v>65</v>
      </c>
      <c r="B241" s="2">
        <v>31</v>
      </c>
      <c r="C241" s="2" t="s">
        <v>96</v>
      </c>
      <c r="D241" s="33">
        <v>0</v>
      </c>
      <c r="E241" s="33">
        <v>0</v>
      </c>
      <c r="F241" s="3">
        <v>5033</v>
      </c>
      <c r="G241" s="3">
        <v>2875</v>
      </c>
      <c r="H241" s="33">
        <v>0</v>
      </c>
      <c r="I241" s="33">
        <v>0</v>
      </c>
      <c r="J241" s="33">
        <v>0</v>
      </c>
      <c r="K241" s="33">
        <v>0</v>
      </c>
      <c r="L241" s="33">
        <v>0</v>
      </c>
      <c r="M241" s="33">
        <v>0</v>
      </c>
      <c r="N241" s="33">
        <v>0</v>
      </c>
      <c r="O241" s="3">
        <v>3401</v>
      </c>
      <c r="P241" s="33">
        <v>0</v>
      </c>
      <c r="Q241" s="3">
        <v>1835</v>
      </c>
      <c r="R241" s="3">
        <v>4418</v>
      </c>
      <c r="S241" s="33">
        <v>0</v>
      </c>
      <c r="T241" s="33">
        <v>0</v>
      </c>
      <c r="U241" s="33">
        <v>0</v>
      </c>
      <c r="V241" s="3">
        <v>0</v>
      </c>
      <c r="W241" s="3">
        <v>21804</v>
      </c>
      <c r="X241" s="13">
        <f t="shared" si="21"/>
        <v>17562</v>
      </c>
      <c r="Y241" s="13">
        <f t="shared" si="22"/>
        <v>21804</v>
      </c>
      <c r="Z241" s="13">
        <f t="shared" si="23"/>
        <v>0</v>
      </c>
      <c r="AA241" s="13">
        <f t="shared" si="24"/>
        <v>403001</v>
      </c>
      <c r="AB241" s="13">
        <f t="shared" si="25"/>
        <v>492668</v>
      </c>
      <c r="AC241" s="13">
        <f t="shared" si="26"/>
        <v>137</v>
      </c>
    </row>
    <row r="242" spans="1:29" x14ac:dyDescent="0.25">
      <c r="A242" s="32" t="s">
        <v>65</v>
      </c>
      <c r="B242" s="2">
        <v>32</v>
      </c>
      <c r="C242" s="2" t="s">
        <v>97</v>
      </c>
      <c r="D242" s="33">
        <v>0</v>
      </c>
      <c r="E242" s="33">
        <v>0</v>
      </c>
      <c r="F242" s="3">
        <v>4035</v>
      </c>
      <c r="G242" s="3">
        <v>3336</v>
      </c>
      <c r="H242" s="33">
        <v>0</v>
      </c>
      <c r="I242" s="33">
        <v>0</v>
      </c>
      <c r="J242" s="33">
        <v>0</v>
      </c>
      <c r="K242" s="33">
        <v>0</v>
      </c>
      <c r="L242" s="33">
        <v>0</v>
      </c>
      <c r="M242" s="33">
        <v>0</v>
      </c>
      <c r="N242" s="33">
        <v>0</v>
      </c>
      <c r="O242" s="3">
        <v>318</v>
      </c>
      <c r="P242" s="33">
        <v>0</v>
      </c>
      <c r="Q242" s="3">
        <v>1643</v>
      </c>
      <c r="R242" s="3">
        <v>5354</v>
      </c>
      <c r="S242" s="33">
        <v>0</v>
      </c>
      <c r="T242" s="33">
        <v>0</v>
      </c>
      <c r="U242" s="33">
        <v>0</v>
      </c>
      <c r="V242" s="3">
        <v>0</v>
      </c>
      <c r="W242" s="3">
        <v>18482</v>
      </c>
      <c r="X242" s="13">
        <f t="shared" si="21"/>
        <v>14686</v>
      </c>
      <c r="Y242" s="13">
        <f t="shared" si="22"/>
        <v>18482</v>
      </c>
      <c r="Z242" s="13">
        <f t="shared" si="23"/>
        <v>0</v>
      </c>
      <c r="AA242" s="13">
        <f t="shared" si="24"/>
        <v>417687</v>
      </c>
      <c r="AB242" s="13">
        <f t="shared" si="25"/>
        <v>511150</v>
      </c>
      <c r="AC242" s="13">
        <f t="shared" si="26"/>
        <v>137</v>
      </c>
    </row>
    <row r="243" spans="1:29" x14ac:dyDescent="0.25">
      <c r="A243" s="32" t="s">
        <v>65</v>
      </c>
      <c r="B243" s="2">
        <v>33</v>
      </c>
      <c r="C243" s="2" t="s">
        <v>98</v>
      </c>
      <c r="D243" s="33">
        <v>0</v>
      </c>
      <c r="E243" s="33">
        <v>0</v>
      </c>
      <c r="F243" s="3">
        <v>4002</v>
      </c>
      <c r="G243" s="3">
        <v>1424</v>
      </c>
      <c r="H243" s="33">
        <v>0</v>
      </c>
      <c r="I243" s="33">
        <v>0</v>
      </c>
      <c r="J243" s="33">
        <v>0</v>
      </c>
      <c r="K243" s="33">
        <v>0</v>
      </c>
      <c r="L243" s="33">
        <v>0</v>
      </c>
      <c r="M243" s="33">
        <v>0</v>
      </c>
      <c r="N243" s="33">
        <v>0</v>
      </c>
      <c r="O243" s="3">
        <v>5</v>
      </c>
      <c r="P243" s="33">
        <v>0</v>
      </c>
      <c r="Q243" s="3">
        <v>68</v>
      </c>
      <c r="R243" s="3">
        <v>5744</v>
      </c>
      <c r="S243" s="33">
        <v>0</v>
      </c>
      <c r="T243" s="33">
        <v>0</v>
      </c>
      <c r="U243" s="33">
        <v>0</v>
      </c>
      <c r="V243" s="3">
        <v>0</v>
      </c>
      <c r="W243" s="3">
        <v>22821</v>
      </c>
      <c r="X243" s="13">
        <f t="shared" si="21"/>
        <v>11243</v>
      </c>
      <c r="Y243" s="13">
        <f t="shared" si="22"/>
        <v>22821</v>
      </c>
      <c r="Z243" s="13">
        <f t="shared" si="23"/>
        <v>0</v>
      </c>
      <c r="AA243" s="13">
        <f t="shared" si="24"/>
        <v>428930</v>
      </c>
      <c r="AB243" s="13">
        <f t="shared" si="25"/>
        <v>533971</v>
      </c>
      <c r="AC243" s="13">
        <f t="shared" si="26"/>
        <v>137</v>
      </c>
    </row>
    <row r="244" spans="1:29" x14ac:dyDescent="0.25">
      <c r="A244" s="32" t="s">
        <v>65</v>
      </c>
      <c r="B244" s="2">
        <v>34</v>
      </c>
      <c r="C244" s="2" t="s">
        <v>99</v>
      </c>
      <c r="D244" s="33">
        <v>0</v>
      </c>
      <c r="E244" s="33">
        <v>0</v>
      </c>
      <c r="F244" s="3">
        <v>3258</v>
      </c>
      <c r="G244" s="3">
        <v>2340</v>
      </c>
      <c r="H244" s="33">
        <v>0</v>
      </c>
      <c r="I244" s="33">
        <v>0</v>
      </c>
      <c r="J244" s="33">
        <v>0</v>
      </c>
      <c r="K244" s="33">
        <v>0</v>
      </c>
      <c r="L244" s="33">
        <v>0</v>
      </c>
      <c r="M244" s="33">
        <v>0</v>
      </c>
      <c r="N244" s="33">
        <v>0</v>
      </c>
      <c r="O244" s="3">
        <v>0</v>
      </c>
      <c r="P244" s="33">
        <v>0</v>
      </c>
      <c r="Q244" s="3">
        <v>1626</v>
      </c>
      <c r="R244" s="3">
        <v>3627</v>
      </c>
      <c r="S244" s="33">
        <v>0</v>
      </c>
      <c r="T244" s="33">
        <v>0</v>
      </c>
      <c r="U244" s="33">
        <v>0</v>
      </c>
      <c r="V244" s="3">
        <v>0</v>
      </c>
      <c r="W244" s="3">
        <v>22768</v>
      </c>
      <c r="X244" s="13">
        <f t="shared" si="21"/>
        <v>10851</v>
      </c>
      <c r="Y244" s="13">
        <f t="shared" si="22"/>
        <v>22768</v>
      </c>
      <c r="Z244" s="13">
        <f t="shared" si="23"/>
        <v>0</v>
      </c>
      <c r="AA244" s="13">
        <f t="shared" si="24"/>
        <v>439781</v>
      </c>
      <c r="AB244" s="13">
        <f t="shared" si="25"/>
        <v>556739</v>
      </c>
      <c r="AC244" s="13">
        <f t="shared" si="26"/>
        <v>137</v>
      </c>
    </row>
    <row r="245" spans="1:29" x14ac:dyDescent="0.25">
      <c r="A245" s="32" t="s">
        <v>65</v>
      </c>
      <c r="B245" s="2">
        <v>35</v>
      </c>
      <c r="C245" s="2" t="s">
        <v>100</v>
      </c>
      <c r="D245" s="33">
        <v>0</v>
      </c>
      <c r="E245" s="33">
        <v>0</v>
      </c>
      <c r="F245" s="3">
        <v>2570</v>
      </c>
      <c r="G245" s="3">
        <v>1044</v>
      </c>
      <c r="H245" s="33">
        <v>0</v>
      </c>
      <c r="I245" s="33">
        <v>0</v>
      </c>
      <c r="J245" s="33">
        <v>0</v>
      </c>
      <c r="K245" s="33">
        <v>0</v>
      </c>
      <c r="L245" s="33">
        <v>0</v>
      </c>
      <c r="M245" s="33">
        <v>0</v>
      </c>
      <c r="N245" s="33">
        <v>0</v>
      </c>
      <c r="O245" s="3">
        <v>3533</v>
      </c>
      <c r="P245" s="33">
        <v>0</v>
      </c>
      <c r="Q245" s="3">
        <v>257</v>
      </c>
      <c r="R245" s="3">
        <v>968</v>
      </c>
      <c r="S245" s="33">
        <v>0</v>
      </c>
      <c r="T245" s="33">
        <v>0</v>
      </c>
      <c r="U245" s="33">
        <v>0</v>
      </c>
      <c r="V245" s="3">
        <v>0</v>
      </c>
      <c r="W245" s="3">
        <v>13883</v>
      </c>
      <c r="X245" s="13">
        <f t="shared" si="21"/>
        <v>8372</v>
      </c>
      <c r="Y245" s="13">
        <f t="shared" si="22"/>
        <v>13883</v>
      </c>
      <c r="Z245" s="13">
        <f t="shared" si="23"/>
        <v>0</v>
      </c>
      <c r="AA245" s="13">
        <f t="shared" si="24"/>
        <v>448153</v>
      </c>
      <c r="AB245" s="13">
        <f t="shared" si="25"/>
        <v>570622</v>
      </c>
      <c r="AC245" s="13">
        <f t="shared" si="26"/>
        <v>137</v>
      </c>
    </row>
    <row r="246" spans="1:29" x14ac:dyDescent="0.25">
      <c r="A246" s="32" t="s">
        <v>65</v>
      </c>
      <c r="B246" s="2">
        <v>36</v>
      </c>
      <c r="C246" s="2" t="s">
        <v>101</v>
      </c>
      <c r="D246" s="33">
        <v>0</v>
      </c>
      <c r="E246" s="33">
        <v>0</v>
      </c>
      <c r="F246" s="3">
        <v>1426</v>
      </c>
      <c r="G246" s="3">
        <v>350</v>
      </c>
      <c r="H246" s="33">
        <v>0</v>
      </c>
      <c r="I246" s="33">
        <v>0</v>
      </c>
      <c r="J246" s="33">
        <v>0</v>
      </c>
      <c r="K246" s="33">
        <v>0</v>
      </c>
      <c r="L246" s="33">
        <v>0</v>
      </c>
      <c r="M246" s="33">
        <v>0</v>
      </c>
      <c r="N246" s="33">
        <v>0</v>
      </c>
      <c r="O246" s="3">
        <v>0</v>
      </c>
      <c r="P246" s="33">
        <v>0</v>
      </c>
      <c r="Q246" s="3">
        <v>393</v>
      </c>
      <c r="R246" s="3">
        <v>987</v>
      </c>
      <c r="S246" s="33">
        <v>0</v>
      </c>
      <c r="T246" s="33">
        <v>0</v>
      </c>
      <c r="U246" s="33">
        <v>0</v>
      </c>
      <c r="V246" s="3">
        <v>0</v>
      </c>
      <c r="W246" s="3">
        <v>16959</v>
      </c>
      <c r="X246" s="13">
        <f t="shared" si="21"/>
        <v>3156</v>
      </c>
      <c r="Y246" s="13">
        <f t="shared" si="22"/>
        <v>16959</v>
      </c>
      <c r="Z246" s="13">
        <f t="shared" si="23"/>
        <v>0</v>
      </c>
      <c r="AA246" s="13">
        <f t="shared" si="24"/>
        <v>451309</v>
      </c>
      <c r="AB246" s="13">
        <f t="shared" si="25"/>
        <v>587581</v>
      </c>
      <c r="AC246" s="13">
        <f t="shared" si="26"/>
        <v>137</v>
      </c>
    </row>
    <row r="247" spans="1:29" x14ac:dyDescent="0.25">
      <c r="A247" s="32" t="s">
        <v>65</v>
      </c>
      <c r="B247" s="2">
        <v>37</v>
      </c>
      <c r="C247" s="2" t="s">
        <v>102</v>
      </c>
      <c r="D247" s="33">
        <v>0</v>
      </c>
      <c r="E247" s="33">
        <v>0</v>
      </c>
      <c r="F247" s="3">
        <v>5210</v>
      </c>
      <c r="G247" s="3">
        <v>682</v>
      </c>
      <c r="H247" s="33">
        <v>0</v>
      </c>
      <c r="I247" s="33">
        <v>0</v>
      </c>
      <c r="J247" s="33">
        <v>0</v>
      </c>
      <c r="K247" s="33">
        <v>0</v>
      </c>
      <c r="L247" s="33">
        <v>0</v>
      </c>
      <c r="M247" s="33">
        <v>0</v>
      </c>
      <c r="N247" s="33">
        <v>0</v>
      </c>
      <c r="O247" s="3">
        <v>0</v>
      </c>
      <c r="P247" s="33">
        <v>0</v>
      </c>
      <c r="Q247" s="3">
        <v>359</v>
      </c>
      <c r="R247" s="3">
        <v>3490</v>
      </c>
      <c r="S247" s="33">
        <v>0</v>
      </c>
      <c r="T247" s="33">
        <v>0</v>
      </c>
      <c r="U247" s="33">
        <v>0</v>
      </c>
      <c r="V247" s="3">
        <v>0</v>
      </c>
      <c r="W247" s="3">
        <v>19526</v>
      </c>
      <c r="X247" s="13">
        <f t="shared" si="21"/>
        <v>9741</v>
      </c>
      <c r="Y247" s="13">
        <f t="shared" si="22"/>
        <v>19526</v>
      </c>
      <c r="Z247" s="13">
        <f t="shared" si="23"/>
        <v>0</v>
      </c>
      <c r="AA247" s="13">
        <f t="shared" si="24"/>
        <v>461050</v>
      </c>
      <c r="AB247" s="13">
        <f t="shared" si="25"/>
        <v>607107</v>
      </c>
      <c r="AC247" s="13">
        <f t="shared" si="26"/>
        <v>137</v>
      </c>
    </row>
    <row r="248" spans="1:29" x14ac:dyDescent="0.25">
      <c r="A248" s="32" t="s">
        <v>65</v>
      </c>
      <c r="B248" s="2">
        <v>38</v>
      </c>
      <c r="C248" s="2" t="s">
        <v>103</v>
      </c>
      <c r="D248" s="33">
        <v>0</v>
      </c>
      <c r="E248" s="33">
        <v>0</v>
      </c>
      <c r="F248" s="3">
        <v>3439</v>
      </c>
      <c r="G248" s="3">
        <v>888</v>
      </c>
      <c r="H248" s="33">
        <v>0</v>
      </c>
      <c r="I248" s="33">
        <v>0</v>
      </c>
      <c r="J248" s="33">
        <v>0</v>
      </c>
      <c r="K248" s="33">
        <v>0</v>
      </c>
      <c r="L248" s="33">
        <v>0</v>
      </c>
      <c r="M248" s="33">
        <v>0</v>
      </c>
      <c r="N248" s="33">
        <v>0</v>
      </c>
      <c r="O248" s="3">
        <v>1861</v>
      </c>
      <c r="P248" s="33">
        <v>0</v>
      </c>
      <c r="Q248" s="3">
        <v>11513</v>
      </c>
      <c r="R248" s="3">
        <v>4036</v>
      </c>
      <c r="S248" s="33">
        <v>0</v>
      </c>
      <c r="T248" s="33">
        <v>0</v>
      </c>
      <c r="U248" s="33">
        <v>0</v>
      </c>
      <c r="V248" s="3">
        <v>0</v>
      </c>
      <c r="W248" s="3">
        <v>19597</v>
      </c>
      <c r="X248" s="13">
        <f t="shared" si="21"/>
        <v>21737</v>
      </c>
      <c r="Y248" s="13">
        <f t="shared" si="22"/>
        <v>19597</v>
      </c>
      <c r="Z248" s="13">
        <f t="shared" si="23"/>
        <v>0</v>
      </c>
      <c r="AA248" s="13">
        <f t="shared" si="24"/>
        <v>482787</v>
      </c>
      <c r="AB248" s="13">
        <f t="shared" si="25"/>
        <v>626704</v>
      </c>
      <c r="AC248" s="13">
        <f t="shared" si="26"/>
        <v>137</v>
      </c>
    </row>
    <row r="249" spans="1:29" x14ac:dyDescent="0.25">
      <c r="A249" s="32" t="s">
        <v>65</v>
      </c>
      <c r="B249" s="2">
        <v>39</v>
      </c>
      <c r="C249" s="2" t="s">
        <v>104</v>
      </c>
      <c r="D249" s="33">
        <v>0</v>
      </c>
      <c r="E249" s="33">
        <v>0</v>
      </c>
      <c r="F249" s="3">
        <v>292</v>
      </c>
      <c r="G249" s="3">
        <v>2679</v>
      </c>
      <c r="H249" s="33">
        <v>0</v>
      </c>
      <c r="I249" s="33">
        <v>0</v>
      </c>
      <c r="J249" s="33">
        <v>0</v>
      </c>
      <c r="K249" s="33">
        <v>0</v>
      </c>
      <c r="L249" s="33">
        <v>0</v>
      </c>
      <c r="M249" s="33">
        <v>0</v>
      </c>
      <c r="N249" s="33">
        <v>0</v>
      </c>
      <c r="O249" s="3">
        <v>1836</v>
      </c>
      <c r="P249" s="33">
        <v>0</v>
      </c>
      <c r="Q249" s="3">
        <v>828</v>
      </c>
      <c r="R249" s="3">
        <v>4663</v>
      </c>
      <c r="S249" s="33">
        <v>0</v>
      </c>
      <c r="T249" s="33">
        <v>0</v>
      </c>
      <c r="U249" s="33">
        <v>0</v>
      </c>
      <c r="V249" s="3">
        <v>0</v>
      </c>
      <c r="W249" s="3">
        <v>19328</v>
      </c>
      <c r="X249" s="13">
        <f t="shared" si="21"/>
        <v>10298</v>
      </c>
      <c r="Y249" s="13">
        <f t="shared" si="22"/>
        <v>19328</v>
      </c>
      <c r="Z249" s="13">
        <f t="shared" si="23"/>
        <v>0</v>
      </c>
      <c r="AA249" s="13">
        <f t="shared" si="24"/>
        <v>493085</v>
      </c>
      <c r="AB249" s="13">
        <f t="shared" si="25"/>
        <v>646032</v>
      </c>
      <c r="AC249" s="13">
        <f t="shared" si="26"/>
        <v>137</v>
      </c>
    </row>
    <row r="250" spans="1:29" x14ac:dyDescent="0.25">
      <c r="A250" s="32" t="s">
        <v>65</v>
      </c>
      <c r="B250" s="2">
        <v>40</v>
      </c>
      <c r="C250" s="2" t="s">
        <v>105</v>
      </c>
      <c r="D250" s="33">
        <v>0</v>
      </c>
      <c r="E250" s="33">
        <v>0</v>
      </c>
      <c r="F250" s="3">
        <v>2267</v>
      </c>
      <c r="G250" s="3">
        <v>942</v>
      </c>
      <c r="H250" s="33">
        <v>0</v>
      </c>
      <c r="I250" s="33">
        <v>0</v>
      </c>
      <c r="J250" s="33">
        <v>0</v>
      </c>
      <c r="K250" s="33">
        <v>0</v>
      </c>
      <c r="L250" s="33">
        <v>0</v>
      </c>
      <c r="M250" s="33">
        <v>0</v>
      </c>
      <c r="N250" s="33">
        <v>0</v>
      </c>
      <c r="O250" s="3">
        <v>1124</v>
      </c>
      <c r="P250" s="33">
        <v>0</v>
      </c>
      <c r="Q250" s="3">
        <v>608</v>
      </c>
      <c r="R250" s="3">
        <v>4552</v>
      </c>
      <c r="S250" s="33">
        <v>0</v>
      </c>
      <c r="T250" s="33">
        <v>0</v>
      </c>
      <c r="U250" s="33">
        <v>0</v>
      </c>
      <c r="V250" s="3">
        <v>0</v>
      </c>
      <c r="W250" s="3">
        <v>24114</v>
      </c>
      <c r="X250" s="13">
        <f t="shared" si="21"/>
        <v>9493</v>
      </c>
      <c r="Y250" s="13">
        <f t="shared" si="22"/>
        <v>24114</v>
      </c>
      <c r="Z250" s="13">
        <f t="shared" si="23"/>
        <v>0</v>
      </c>
      <c r="AA250" s="13">
        <f t="shared" si="24"/>
        <v>502578</v>
      </c>
      <c r="AB250" s="13">
        <f t="shared" si="25"/>
        <v>670146</v>
      </c>
      <c r="AC250" s="13">
        <f t="shared" si="26"/>
        <v>137</v>
      </c>
    </row>
    <row r="251" spans="1:29" x14ac:dyDescent="0.25">
      <c r="A251" s="32" t="s">
        <v>65</v>
      </c>
      <c r="B251" s="2">
        <v>41</v>
      </c>
      <c r="C251" s="2" t="s">
        <v>106</v>
      </c>
      <c r="D251" s="33">
        <v>0</v>
      </c>
      <c r="E251" s="33">
        <v>0</v>
      </c>
      <c r="F251" s="3">
        <v>3953</v>
      </c>
      <c r="G251" s="3">
        <v>1505</v>
      </c>
      <c r="H251" s="33">
        <v>0</v>
      </c>
      <c r="I251" s="33">
        <v>0</v>
      </c>
      <c r="J251" s="33">
        <v>0</v>
      </c>
      <c r="K251" s="33">
        <v>0</v>
      </c>
      <c r="L251" s="33">
        <v>0</v>
      </c>
      <c r="M251" s="33">
        <v>0</v>
      </c>
      <c r="N251" s="33">
        <v>0</v>
      </c>
      <c r="O251" s="3">
        <v>955</v>
      </c>
      <c r="P251" s="33">
        <v>0</v>
      </c>
      <c r="Q251" s="3">
        <v>820</v>
      </c>
      <c r="R251" s="3">
        <v>5913</v>
      </c>
      <c r="S251" s="33">
        <v>0</v>
      </c>
      <c r="T251" s="33">
        <v>0</v>
      </c>
      <c r="U251" s="33">
        <v>0</v>
      </c>
      <c r="V251" s="3">
        <v>0</v>
      </c>
      <c r="W251" s="3">
        <v>21026</v>
      </c>
      <c r="X251" s="13">
        <f t="shared" si="21"/>
        <v>13146</v>
      </c>
      <c r="Y251" s="13">
        <f t="shared" si="22"/>
        <v>21026</v>
      </c>
      <c r="Z251" s="13">
        <f t="shared" si="23"/>
        <v>0</v>
      </c>
      <c r="AA251" s="13">
        <f t="shared" si="24"/>
        <v>515724</v>
      </c>
      <c r="AB251" s="13">
        <f t="shared" si="25"/>
        <v>691172</v>
      </c>
      <c r="AC251" s="13">
        <f t="shared" si="26"/>
        <v>137</v>
      </c>
    </row>
    <row r="252" spans="1:29" x14ac:dyDescent="0.25">
      <c r="A252" s="32" t="s">
        <v>65</v>
      </c>
      <c r="B252" s="2">
        <v>42</v>
      </c>
      <c r="C252" s="2" t="s">
        <v>107</v>
      </c>
      <c r="D252" s="33">
        <v>0</v>
      </c>
      <c r="E252" s="33">
        <v>0</v>
      </c>
      <c r="F252" s="3">
        <v>4048</v>
      </c>
      <c r="G252" s="3">
        <v>1334</v>
      </c>
      <c r="H252" s="33">
        <v>0</v>
      </c>
      <c r="I252" s="33">
        <v>0</v>
      </c>
      <c r="J252" s="33">
        <v>0</v>
      </c>
      <c r="K252" s="33">
        <v>0</v>
      </c>
      <c r="L252" s="33">
        <v>0</v>
      </c>
      <c r="M252" s="33">
        <v>0</v>
      </c>
      <c r="N252" s="33">
        <v>0</v>
      </c>
      <c r="O252" s="3">
        <v>1237</v>
      </c>
      <c r="P252" s="33">
        <v>0</v>
      </c>
      <c r="Q252" s="3">
        <v>992</v>
      </c>
      <c r="R252" s="3">
        <v>4896</v>
      </c>
      <c r="S252" s="33">
        <v>0</v>
      </c>
      <c r="T252" s="33">
        <v>0</v>
      </c>
      <c r="U252" s="33">
        <v>0</v>
      </c>
      <c r="V252" s="3">
        <v>0</v>
      </c>
      <c r="W252" s="3">
        <v>17841</v>
      </c>
      <c r="X252" s="13">
        <f t="shared" si="21"/>
        <v>12507</v>
      </c>
      <c r="Y252" s="13">
        <f t="shared" si="22"/>
        <v>17841</v>
      </c>
      <c r="Z252" s="13">
        <f t="shared" si="23"/>
        <v>0</v>
      </c>
      <c r="AA252" s="13">
        <f t="shared" si="24"/>
        <v>528231</v>
      </c>
      <c r="AB252" s="13">
        <f t="shared" si="25"/>
        <v>709013</v>
      </c>
      <c r="AC252" s="13">
        <f t="shared" si="26"/>
        <v>137</v>
      </c>
    </row>
    <row r="253" spans="1:29" x14ac:dyDescent="0.25">
      <c r="A253" s="32" t="s">
        <v>65</v>
      </c>
      <c r="B253" s="2">
        <v>43</v>
      </c>
      <c r="C253" s="2" t="s">
        <v>108</v>
      </c>
      <c r="D253" s="33">
        <v>0</v>
      </c>
      <c r="E253" s="33">
        <v>0</v>
      </c>
      <c r="F253" s="3">
        <v>3254</v>
      </c>
      <c r="G253" s="3">
        <v>1328</v>
      </c>
      <c r="H253" s="33">
        <v>0</v>
      </c>
      <c r="I253" s="33">
        <v>0</v>
      </c>
      <c r="J253" s="33">
        <v>0</v>
      </c>
      <c r="K253" s="33">
        <v>0</v>
      </c>
      <c r="L253" s="33">
        <v>0</v>
      </c>
      <c r="M253" s="33">
        <v>0</v>
      </c>
      <c r="N253" s="33">
        <v>0</v>
      </c>
      <c r="O253" s="3">
        <v>1446</v>
      </c>
      <c r="P253" s="33">
        <v>0</v>
      </c>
      <c r="Q253" s="3">
        <v>1022</v>
      </c>
      <c r="R253" s="3">
        <v>4926</v>
      </c>
      <c r="S253" s="33">
        <v>0</v>
      </c>
      <c r="T253" s="33">
        <v>0</v>
      </c>
      <c r="U253" s="33">
        <v>0</v>
      </c>
      <c r="V253" s="3">
        <v>0</v>
      </c>
      <c r="W253" s="3">
        <v>19263</v>
      </c>
      <c r="X253" s="13">
        <f t="shared" si="21"/>
        <v>11976</v>
      </c>
      <c r="Y253" s="13">
        <f t="shared" si="22"/>
        <v>19263</v>
      </c>
      <c r="Z253" s="13">
        <f t="shared" si="23"/>
        <v>0</v>
      </c>
      <c r="AA253" s="13">
        <f t="shared" si="24"/>
        <v>540207</v>
      </c>
      <c r="AB253" s="13">
        <f t="shared" si="25"/>
        <v>728276</v>
      </c>
      <c r="AC253" s="13">
        <f t="shared" si="26"/>
        <v>137</v>
      </c>
    </row>
    <row r="254" spans="1:29" x14ac:dyDescent="0.25">
      <c r="A254" s="32" t="s">
        <v>65</v>
      </c>
      <c r="B254" s="2">
        <v>44</v>
      </c>
      <c r="C254" s="2" t="s">
        <v>109</v>
      </c>
      <c r="D254" s="33">
        <v>0</v>
      </c>
      <c r="E254" s="33">
        <v>0</v>
      </c>
      <c r="F254" s="3">
        <v>3779</v>
      </c>
      <c r="G254" s="3">
        <v>1401</v>
      </c>
      <c r="H254" s="33">
        <v>0</v>
      </c>
      <c r="I254" s="33">
        <v>0</v>
      </c>
      <c r="J254" s="33">
        <v>0</v>
      </c>
      <c r="K254" s="33">
        <v>0</v>
      </c>
      <c r="L254" s="33">
        <v>0</v>
      </c>
      <c r="M254" s="33">
        <v>0</v>
      </c>
      <c r="N254" s="33">
        <v>0</v>
      </c>
      <c r="O254" s="3">
        <v>2919</v>
      </c>
      <c r="P254" s="33">
        <v>0</v>
      </c>
      <c r="Q254" s="3">
        <v>881</v>
      </c>
      <c r="R254" s="3">
        <v>5365</v>
      </c>
      <c r="S254" s="33">
        <v>0</v>
      </c>
      <c r="T254" s="33">
        <v>0</v>
      </c>
      <c r="U254" s="33">
        <v>0</v>
      </c>
      <c r="V254" s="3">
        <v>0</v>
      </c>
      <c r="W254" s="3">
        <v>18371</v>
      </c>
      <c r="X254" s="13">
        <f t="shared" si="21"/>
        <v>14345</v>
      </c>
      <c r="Y254" s="13">
        <f t="shared" si="22"/>
        <v>18371</v>
      </c>
      <c r="Z254" s="13">
        <f t="shared" si="23"/>
        <v>0</v>
      </c>
      <c r="AA254" s="13">
        <f t="shared" si="24"/>
        <v>554552</v>
      </c>
      <c r="AB254" s="13">
        <f t="shared" si="25"/>
        <v>746647</v>
      </c>
      <c r="AC254" s="13">
        <f t="shared" si="26"/>
        <v>137</v>
      </c>
    </row>
    <row r="255" spans="1:29" x14ac:dyDescent="0.25">
      <c r="A255" s="32" t="s">
        <v>65</v>
      </c>
      <c r="B255" s="2">
        <v>45</v>
      </c>
      <c r="C255" s="2" t="s">
        <v>110</v>
      </c>
      <c r="D255" s="33">
        <v>0</v>
      </c>
      <c r="E255" s="33">
        <v>0</v>
      </c>
      <c r="F255" s="3">
        <v>3542</v>
      </c>
      <c r="G255" s="3">
        <v>1088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">
        <v>1154</v>
      </c>
      <c r="P255" s="33">
        <v>0</v>
      </c>
      <c r="Q255" s="3">
        <v>998</v>
      </c>
      <c r="R255" s="3">
        <v>5197</v>
      </c>
      <c r="S255" s="33">
        <v>0</v>
      </c>
      <c r="T255" s="33">
        <v>0</v>
      </c>
      <c r="U255" s="33">
        <v>0</v>
      </c>
      <c r="V255" s="3">
        <v>0</v>
      </c>
      <c r="W255" s="3">
        <v>14482</v>
      </c>
      <c r="X255" s="13">
        <f t="shared" si="21"/>
        <v>11979</v>
      </c>
      <c r="Y255" s="13">
        <f t="shared" si="22"/>
        <v>14482</v>
      </c>
      <c r="Z255" s="13">
        <f t="shared" si="23"/>
        <v>0</v>
      </c>
      <c r="AA255" s="13">
        <f t="shared" si="24"/>
        <v>566531</v>
      </c>
      <c r="AB255" s="13">
        <f t="shared" si="25"/>
        <v>761129</v>
      </c>
      <c r="AC255" s="13">
        <f t="shared" si="26"/>
        <v>137</v>
      </c>
    </row>
    <row r="256" spans="1:29" x14ac:dyDescent="0.25">
      <c r="A256" s="32" t="s">
        <v>65</v>
      </c>
      <c r="B256" s="2">
        <v>46</v>
      </c>
      <c r="C256" s="2" t="s">
        <v>111</v>
      </c>
      <c r="D256" s="33">
        <v>0</v>
      </c>
      <c r="E256" s="33">
        <v>0</v>
      </c>
      <c r="F256" s="3">
        <v>3025</v>
      </c>
      <c r="G256" s="3">
        <v>2194</v>
      </c>
      <c r="H256" s="33">
        <v>0</v>
      </c>
      <c r="I256" s="33">
        <v>0</v>
      </c>
      <c r="J256" s="33">
        <v>0</v>
      </c>
      <c r="K256" s="33">
        <v>0</v>
      </c>
      <c r="L256" s="33">
        <v>0</v>
      </c>
      <c r="M256" s="33">
        <v>0</v>
      </c>
      <c r="N256" s="33">
        <v>0</v>
      </c>
      <c r="O256" s="3">
        <v>180</v>
      </c>
      <c r="P256" s="33">
        <v>0</v>
      </c>
      <c r="Q256" s="3">
        <v>1304</v>
      </c>
      <c r="R256" s="3">
        <v>4062</v>
      </c>
      <c r="S256" s="33">
        <v>0</v>
      </c>
      <c r="T256" s="33">
        <v>0</v>
      </c>
      <c r="U256" s="33">
        <v>0</v>
      </c>
      <c r="V256" s="3">
        <v>0</v>
      </c>
      <c r="W256" s="3">
        <v>17530</v>
      </c>
      <c r="X256" s="13">
        <f t="shared" si="21"/>
        <v>10765</v>
      </c>
      <c r="Y256" s="13">
        <f t="shared" si="22"/>
        <v>17530</v>
      </c>
      <c r="Z256" s="13">
        <f t="shared" si="23"/>
        <v>0</v>
      </c>
      <c r="AA256" s="13">
        <f t="shared" si="24"/>
        <v>577296</v>
      </c>
      <c r="AB256" s="13">
        <f t="shared" si="25"/>
        <v>778659</v>
      </c>
      <c r="AC256" s="13">
        <f t="shared" si="26"/>
        <v>137</v>
      </c>
    </row>
    <row r="257" spans="1:29" x14ac:dyDescent="0.25">
      <c r="A257" s="32" t="s">
        <v>65</v>
      </c>
      <c r="B257" s="2">
        <v>47</v>
      </c>
      <c r="C257" s="2" t="s">
        <v>112</v>
      </c>
      <c r="D257" s="33">
        <v>0</v>
      </c>
      <c r="E257" s="33">
        <v>0</v>
      </c>
      <c r="F257" s="3">
        <v>3291</v>
      </c>
      <c r="G257" s="3">
        <v>1538</v>
      </c>
      <c r="H257" s="33">
        <v>0</v>
      </c>
      <c r="I257" s="33">
        <v>0</v>
      </c>
      <c r="J257" s="33">
        <v>0</v>
      </c>
      <c r="K257" s="33">
        <v>0</v>
      </c>
      <c r="L257" s="33">
        <v>0</v>
      </c>
      <c r="M257" s="33">
        <v>0</v>
      </c>
      <c r="N257" s="33">
        <v>0</v>
      </c>
      <c r="O257" s="3">
        <v>416</v>
      </c>
      <c r="P257" s="33">
        <v>0</v>
      </c>
      <c r="Q257" s="3">
        <v>1868</v>
      </c>
      <c r="R257" s="3">
        <v>2400</v>
      </c>
      <c r="S257" s="33">
        <v>0</v>
      </c>
      <c r="T257" s="33">
        <v>0</v>
      </c>
      <c r="U257" s="33">
        <v>0</v>
      </c>
      <c r="V257" s="3">
        <v>0</v>
      </c>
      <c r="W257" s="3">
        <v>12108</v>
      </c>
      <c r="X257" s="13">
        <f t="shared" si="21"/>
        <v>9513</v>
      </c>
      <c r="Y257" s="13">
        <f t="shared" si="22"/>
        <v>12108</v>
      </c>
      <c r="Z257" s="13">
        <f t="shared" si="23"/>
        <v>0</v>
      </c>
      <c r="AA257" s="13">
        <f t="shared" si="24"/>
        <v>586809</v>
      </c>
      <c r="AB257" s="13">
        <f t="shared" si="25"/>
        <v>790767</v>
      </c>
      <c r="AC257" s="13">
        <f t="shared" si="26"/>
        <v>137</v>
      </c>
    </row>
    <row r="258" spans="1:29" x14ac:dyDescent="0.25">
      <c r="A258" s="32" t="s">
        <v>65</v>
      </c>
      <c r="B258" s="2">
        <v>48</v>
      </c>
      <c r="C258" s="2" t="s">
        <v>113</v>
      </c>
      <c r="D258" s="33">
        <v>0</v>
      </c>
      <c r="E258" s="33">
        <v>0</v>
      </c>
      <c r="F258" s="3">
        <v>6963</v>
      </c>
      <c r="G258" s="3">
        <v>2428</v>
      </c>
      <c r="H258" s="33">
        <v>0</v>
      </c>
      <c r="I258" s="33">
        <v>0</v>
      </c>
      <c r="J258" s="33">
        <v>0</v>
      </c>
      <c r="K258" s="33">
        <v>0</v>
      </c>
      <c r="L258" s="33">
        <v>0</v>
      </c>
      <c r="M258" s="33">
        <v>0</v>
      </c>
      <c r="N258" s="33">
        <v>0</v>
      </c>
      <c r="O258" s="3">
        <v>4114</v>
      </c>
      <c r="P258" s="33">
        <v>0</v>
      </c>
      <c r="Q258" s="3">
        <v>1883</v>
      </c>
      <c r="R258" s="3">
        <v>4880</v>
      </c>
      <c r="S258" s="33">
        <v>0</v>
      </c>
      <c r="T258" s="33">
        <v>0</v>
      </c>
      <c r="U258" s="33">
        <v>0</v>
      </c>
      <c r="V258" s="3">
        <v>0</v>
      </c>
      <c r="W258" s="3">
        <v>10596</v>
      </c>
      <c r="X258" s="13">
        <f t="shared" ref="X258:X318" si="27">F258+G258+O258+Q258+R258</f>
        <v>20268</v>
      </c>
      <c r="Y258" s="13">
        <f t="shared" ref="Y258:Y318" si="28">W258</f>
        <v>10596</v>
      </c>
      <c r="Z258" s="13">
        <f t="shared" ref="Z258:Z318" si="29">SUM(D258:W258)-X258-Y258</f>
        <v>0</v>
      </c>
      <c r="AA258" s="13">
        <f t="shared" si="24"/>
        <v>607077</v>
      </c>
      <c r="AB258" s="13">
        <f t="shared" si="25"/>
        <v>801363</v>
      </c>
      <c r="AC258" s="13">
        <f t="shared" si="26"/>
        <v>137</v>
      </c>
    </row>
    <row r="259" spans="1:29" x14ac:dyDescent="0.25">
      <c r="A259" s="32" t="s">
        <v>65</v>
      </c>
      <c r="B259" s="2">
        <v>49</v>
      </c>
      <c r="C259" s="2" t="s">
        <v>114</v>
      </c>
      <c r="D259" s="33">
        <v>0</v>
      </c>
      <c r="E259" s="33">
        <v>0</v>
      </c>
      <c r="F259" s="3">
        <v>4922</v>
      </c>
      <c r="G259" s="3">
        <v>1270</v>
      </c>
      <c r="H259" s="33">
        <v>0</v>
      </c>
      <c r="I259" s="33">
        <v>0</v>
      </c>
      <c r="J259" s="33">
        <v>0</v>
      </c>
      <c r="K259" s="33">
        <v>0</v>
      </c>
      <c r="L259" s="33">
        <v>0</v>
      </c>
      <c r="M259" s="33">
        <v>0</v>
      </c>
      <c r="N259" s="33">
        <v>0</v>
      </c>
      <c r="O259" s="3">
        <v>990</v>
      </c>
      <c r="P259" s="33">
        <v>0</v>
      </c>
      <c r="Q259" s="3">
        <v>1075</v>
      </c>
      <c r="R259" s="3">
        <v>838</v>
      </c>
      <c r="S259" s="33">
        <v>0</v>
      </c>
      <c r="T259" s="33">
        <v>0</v>
      </c>
      <c r="U259" s="33">
        <v>0</v>
      </c>
      <c r="V259" s="3">
        <v>0</v>
      </c>
      <c r="W259" s="3">
        <v>11474</v>
      </c>
      <c r="X259" s="13">
        <f t="shared" si="27"/>
        <v>9095</v>
      </c>
      <c r="Y259" s="13">
        <f t="shared" si="28"/>
        <v>11474</v>
      </c>
      <c r="Z259" s="13">
        <f t="shared" si="29"/>
        <v>0</v>
      </c>
      <c r="AA259" s="13">
        <f t="shared" si="24"/>
        <v>616172</v>
      </c>
      <c r="AB259" s="13">
        <f t="shared" si="25"/>
        <v>812837</v>
      </c>
      <c r="AC259" s="13">
        <f t="shared" si="26"/>
        <v>137</v>
      </c>
    </row>
    <row r="260" spans="1:29" x14ac:dyDescent="0.25">
      <c r="A260" s="32" t="s">
        <v>65</v>
      </c>
      <c r="B260" s="2">
        <v>50</v>
      </c>
      <c r="C260" s="2" t="s">
        <v>115</v>
      </c>
      <c r="D260" s="33">
        <v>0</v>
      </c>
      <c r="E260" s="33">
        <v>0</v>
      </c>
      <c r="F260" s="3">
        <v>3383</v>
      </c>
      <c r="G260" s="3">
        <v>536</v>
      </c>
      <c r="H260" s="33">
        <v>0</v>
      </c>
      <c r="I260" s="33">
        <v>0</v>
      </c>
      <c r="J260" s="33">
        <v>0</v>
      </c>
      <c r="K260" s="33">
        <v>0</v>
      </c>
      <c r="L260" s="33">
        <v>0</v>
      </c>
      <c r="M260" s="33">
        <v>0</v>
      </c>
      <c r="N260" s="33">
        <v>0</v>
      </c>
      <c r="O260" s="3">
        <v>2170</v>
      </c>
      <c r="P260" s="33">
        <v>0</v>
      </c>
      <c r="Q260" s="3">
        <v>11167</v>
      </c>
      <c r="R260" s="3">
        <v>1505</v>
      </c>
      <c r="S260" s="33">
        <v>0</v>
      </c>
      <c r="T260" s="33">
        <v>0</v>
      </c>
      <c r="U260" s="33">
        <v>0</v>
      </c>
      <c r="V260" s="3">
        <v>0</v>
      </c>
      <c r="W260" s="3">
        <v>9193</v>
      </c>
      <c r="X260" s="13">
        <f t="shared" si="27"/>
        <v>18761</v>
      </c>
      <c r="Y260" s="13">
        <f t="shared" si="28"/>
        <v>9193</v>
      </c>
      <c r="Z260" s="13">
        <f t="shared" si="29"/>
        <v>0</v>
      </c>
      <c r="AA260" s="13">
        <f t="shared" si="24"/>
        <v>634933</v>
      </c>
      <c r="AB260" s="13">
        <f t="shared" si="25"/>
        <v>822030</v>
      </c>
      <c r="AC260" s="13">
        <f t="shared" si="26"/>
        <v>137</v>
      </c>
    </row>
    <row r="261" spans="1:29" x14ac:dyDescent="0.25">
      <c r="A261" s="32" t="s">
        <v>65</v>
      </c>
      <c r="B261" s="2">
        <v>51</v>
      </c>
      <c r="C261" s="2" t="s">
        <v>116</v>
      </c>
      <c r="D261" s="33">
        <v>0</v>
      </c>
      <c r="E261" s="33">
        <v>0</v>
      </c>
      <c r="F261" s="3">
        <v>2007</v>
      </c>
      <c r="G261" s="3">
        <v>420</v>
      </c>
      <c r="H261" s="33">
        <v>0</v>
      </c>
      <c r="I261" s="33">
        <v>0</v>
      </c>
      <c r="J261" s="33">
        <v>0</v>
      </c>
      <c r="K261" s="33">
        <v>0</v>
      </c>
      <c r="L261" s="33">
        <v>0</v>
      </c>
      <c r="M261" s="33">
        <v>0</v>
      </c>
      <c r="N261" s="33">
        <v>0</v>
      </c>
      <c r="O261" s="3">
        <v>1129</v>
      </c>
      <c r="P261" s="33">
        <v>0</v>
      </c>
      <c r="Q261" s="3">
        <v>1171</v>
      </c>
      <c r="R261" s="3">
        <v>949</v>
      </c>
      <c r="S261" s="33">
        <v>0</v>
      </c>
      <c r="T261" s="33">
        <v>0</v>
      </c>
      <c r="U261" s="33">
        <v>0</v>
      </c>
      <c r="V261" s="3">
        <v>0</v>
      </c>
      <c r="W261" s="3">
        <v>7665</v>
      </c>
      <c r="X261" s="13">
        <f t="shared" si="27"/>
        <v>5676</v>
      </c>
      <c r="Y261" s="13">
        <f t="shared" si="28"/>
        <v>7665</v>
      </c>
      <c r="Z261" s="13">
        <f t="shared" si="29"/>
        <v>0</v>
      </c>
      <c r="AA261" s="13">
        <f t="shared" si="24"/>
        <v>640609</v>
      </c>
      <c r="AB261" s="13">
        <f t="shared" si="25"/>
        <v>829695</v>
      </c>
      <c r="AC261" s="13">
        <f t="shared" si="26"/>
        <v>137</v>
      </c>
    </row>
    <row r="262" spans="1:29" x14ac:dyDescent="0.25">
      <c r="A262" s="32" t="s">
        <v>65</v>
      </c>
      <c r="B262" s="2">
        <v>52</v>
      </c>
      <c r="C262" s="2" t="s">
        <v>117</v>
      </c>
      <c r="D262" s="33">
        <v>0</v>
      </c>
      <c r="E262" s="33">
        <v>0</v>
      </c>
      <c r="F262" s="3">
        <v>3373</v>
      </c>
      <c r="G262" s="3">
        <v>2910</v>
      </c>
      <c r="H262" s="33">
        <v>0</v>
      </c>
      <c r="I262" s="33">
        <v>0</v>
      </c>
      <c r="J262" s="33">
        <v>0</v>
      </c>
      <c r="K262" s="33">
        <v>0</v>
      </c>
      <c r="L262" s="33">
        <v>0</v>
      </c>
      <c r="M262" s="33">
        <v>0</v>
      </c>
      <c r="N262" s="33">
        <v>0</v>
      </c>
      <c r="O262" s="3">
        <v>1547</v>
      </c>
      <c r="P262" s="33">
        <v>0</v>
      </c>
      <c r="Q262" s="3">
        <v>1511</v>
      </c>
      <c r="R262" s="3">
        <v>576</v>
      </c>
      <c r="S262" s="33">
        <v>0</v>
      </c>
      <c r="T262" s="33">
        <v>0</v>
      </c>
      <c r="U262" s="33">
        <v>0</v>
      </c>
      <c r="V262" s="3">
        <v>0</v>
      </c>
      <c r="W262" s="3">
        <v>10311</v>
      </c>
      <c r="X262" s="13">
        <f t="shared" si="27"/>
        <v>9917</v>
      </c>
      <c r="Y262" s="13">
        <f t="shared" si="28"/>
        <v>10311</v>
      </c>
      <c r="Z262" s="13">
        <f t="shared" si="29"/>
        <v>0</v>
      </c>
      <c r="AA262" s="13">
        <f t="shared" si="24"/>
        <v>650526</v>
      </c>
      <c r="AB262" s="13">
        <f t="shared" si="25"/>
        <v>840006</v>
      </c>
      <c r="AC262" s="13">
        <f t="shared" si="26"/>
        <v>137</v>
      </c>
    </row>
    <row r="263" spans="1:29" x14ac:dyDescent="0.25">
      <c r="A263" s="35" t="s">
        <v>297</v>
      </c>
      <c r="B263" s="40">
        <v>1</v>
      </c>
      <c r="C263" s="40" t="s">
        <v>298</v>
      </c>
      <c r="D263" s="41">
        <v>0</v>
      </c>
      <c r="E263" s="37">
        <v>0</v>
      </c>
      <c r="F263" s="39">
        <v>688</v>
      </c>
      <c r="G263" s="39">
        <v>512</v>
      </c>
      <c r="H263" s="37">
        <v>0</v>
      </c>
      <c r="I263" s="37">
        <v>0</v>
      </c>
      <c r="J263" s="37">
        <v>0</v>
      </c>
      <c r="K263" s="37">
        <v>0</v>
      </c>
      <c r="L263" s="37">
        <v>0</v>
      </c>
      <c r="M263" s="37">
        <v>0</v>
      </c>
      <c r="N263" s="37">
        <v>0</v>
      </c>
      <c r="O263" s="39">
        <v>524</v>
      </c>
      <c r="P263" s="37">
        <v>0</v>
      </c>
      <c r="Q263" s="39">
        <v>322</v>
      </c>
      <c r="R263" s="39">
        <v>185</v>
      </c>
      <c r="S263" s="37">
        <v>0</v>
      </c>
      <c r="T263" s="37">
        <v>0</v>
      </c>
      <c r="U263" s="39">
        <v>0</v>
      </c>
      <c r="V263" s="37">
        <v>0</v>
      </c>
      <c r="W263" s="39">
        <v>627</v>
      </c>
      <c r="X263" s="42">
        <f t="shared" si="27"/>
        <v>2231</v>
      </c>
      <c r="Y263" s="42">
        <f t="shared" si="28"/>
        <v>627</v>
      </c>
      <c r="Z263" s="42">
        <f t="shared" si="29"/>
        <v>0</v>
      </c>
      <c r="AA263" s="42">
        <f>X263</f>
        <v>2231</v>
      </c>
      <c r="AB263" s="42">
        <f>Y263</f>
        <v>627</v>
      </c>
      <c r="AC263" s="42">
        <f>Z263</f>
        <v>0</v>
      </c>
    </row>
    <row r="264" spans="1:29" x14ac:dyDescent="0.25">
      <c r="A264" s="6" t="s">
        <v>297</v>
      </c>
      <c r="B264" s="34">
        <v>2</v>
      </c>
      <c r="C264" s="34" t="s">
        <v>299</v>
      </c>
      <c r="D264" s="33">
        <v>0</v>
      </c>
      <c r="E264" s="33">
        <v>0</v>
      </c>
      <c r="F264" s="3">
        <v>2070</v>
      </c>
      <c r="G264" s="3">
        <v>1349</v>
      </c>
      <c r="H264" s="33">
        <v>0</v>
      </c>
      <c r="I264" s="33">
        <v>0</v>
      </c>
      <c r="J264" s="33">
        <v>0</v>
      </c>
      <c r="K264" s="33">
        <v>0</v>
      </c>
      <c r="L264" s="33">
        <v>0</v>
      </c>
      <c r="M264" s="33">
        <v>0</v>
      </c>
      <c r="N264" s="33">
        <v>0</v>
      </c>
      <c r="O264" s="3">
        <v>0</v>
      </c>
      <c r="P264" s="33">
        <v>0</v>
      </c>
      <c r="Q264" s="3">
        <v>0</v>
      </c>
      <c r="R264" s="3">
        <v>705</v>
      </c>
      <c r="S264" s="33">
        <v>0</v>
      </c>
      <c r="T264" s="33">
        <v>0</v>
      </c>
      <c r="U264" s="3">
        <v>0</v>
      </c>
      <c r="V264" s="33">
        <v>0</v>
      </c>
      <c r="W264" s="3">
        <v>2478</v>
      </c>
      <c r="X264" s="13">
        <f t="shared" si="27"/>
        <v>4124</v>
      </c>
      <c r="Y264" s="13">
        <f t="shared" si="28"/>
        <v>2478</v>
      </c>
      <c r="Z264" s="13">
        <f t="shared" si="29"/>
        <v>0</v>
      </c>
      <c r="AA264" s="13">
        <f>AA263+X264</f>
        <v>6355</v>
      </c>
      <c r="AB264" s="13">
        <f>AB263+Y264</f>
        <v>3105</v>
      </c>
      <c r="AC264" s="13">
        <f>AC263+Z264</f>
        <v>0</v>
      </c>
    </row>
    <row r="265" spans="1:29" x14ac:dyDescent="0.25">
      <c r="A265" s="6" t="s">
        <v>297</v>
      </c>
      <c r="B265" s="2">
        <v>3</v>
      </c>
      <c r="C265" s="2" t="s">
        <v>300</v>
      </c>
      <c r="D265" s="33">
        <v>0</v>
      </c>
      <c r="E265" s="33">
        <v>0</v>
      </c>
      <c r="F265" s="3">
        <v>2629</v>
      </c>
      <c r="G265" s="3">
        <v>1836</v>
      </c>
      <c r="H265" s="33">
        <v>0</v>
      </c>
      <c r="I265" s="33">
        <v>0</v>
      </c>
      <c r="J265" s="33">
        <v>0</v>
      </c>
      <c r="K265" s="33">
        <v>0</v>
      </c>
      <c r="L265" s="33">
        <v>0</v>
      </c>
      <c r="M265" s="33">
        <v>0</v>
      </c>
      <c r="N265" s="33">
        <v>0</v>
      </c>
      <c r="O265" s="3">
        <v>178</v>
      </c>
      <c r="P265" s="33">
        <v>0</v>
      </c>
      <c r="Q265" s="3">
        <v>510</v>
      </c>
      <c r="R265" s="3">
        <v>707</v>
      </c>
      <c r="S265" s="33">
        <v>0</v>
      </c>
      <c r="T265" s="33">
        <v>0</v>
      </c>
      <c r="U265" s="3">
        <v>0</v>
      </c>
      <c r="V265" s="33">
        <v>0</v>
      </c>
      <c r="W265" s="3">
        <v>2979</v>
      </c>
      <c r="X265" s="13">
        <f t="shared" si="27"/>
        <v>5860</v>
      </c>
      <c r="Y265" s="13">
        <f t="shared" si="28"/>
        <v>2979</v>
      </c>
      <c r="Z265" s="13">
        <f t="shared" si="29"/>
        <v>0</v>
      </c>
      <c r="AA265" s="13">
        <f t="shared" ref="AA265:AA313" si="30">AA264+X265</f>
        <v>12215</v>
      </c>
      <c r="AB265" s="13">
        <f t="shared" ref="AB265:AB313" si="31">AB264+Y265</f>
        <v>6084</v>
      </c>
      <c r="AC265" s="13">
        <f t="shared" ref="AC265:AC313" si="32">AC264+Z265</f>
        <v>0</v>
      </c>
    </row>
    <row r="266" spans="1:29" x14ac:dyDescent="0.25">
      <c r="A266" s="6" t="s">
        <v>297</v>
      </c>
      <c r="B266" s="2">
        <v>4</v>
      </c>
      <c r="C266" s="2" t="s">
        <v>301</v>
      </c>
      <c r="D266" s="33">
        <v>0</v>
      </c>
      <c r="E266" s="33">
        <v>0</v>
      </c>
      <c r="F266" s="3">
        <v>1576</v>
      </c>
      <c r="G266" s="3">
        <v>1869</v>
      </c>
      <c r="H266" s="33">
        <v>0</v>
      </c>
      <c r="I266" s="33">
        <v>0</v>
      </c>
      <c r="J266" s="33">
        <v>0</v>
      </c>
      <c r="K266" s="33">
        <v>0</v>
      </c>
      <c r="L266" s="33">
        <v>0</v>
      </c>
      <c r="M266" s="33">
        <v>0</v>
      </c>
      <c r="N266" s="33">
        <v>0</v>
      </c>
      <c r="O266" s="3">
        <v>1393</v>
      </c>
      <c r="P266" s="33">
        <v>0</v>
      </c>
      <c r="Q266" s="3">
        <v>540</v>
      </c>
      <c r="R266" s="3">
        <v>24</v>
      </c>
      <c r="S266" s="33">
        <v>0</v>
      </c>
      <c r="T266" s="33">
        <v>0</v>
      </c>
      <c r="U266" s="3">
        <v>0</v>
      </c>
      <c r="V266" s="33">
        <v>0</v>
      </c>
      <c r="W266" s="3">
        <v>5772</v>
      </c>
      <c r="X266" s="13">
        <f t="shared" si="27"/>
        <v>5402</v>
      </c>
      <c r="Y266" s="13">
        <f t="shared" si="28"/>
        <v>5772</v>
      </c>
      <c r="Z266" s="13">
        <f t="shared" si="29"/>
        <v>0</v>
      </c>
      <c r="AA266" s="13">
        <f t="shared" si="30"/>
        <v>17617</v>
      </c>
      <c r="AB266" s="13">
        <f t="shared" si="31"/>
        <v>11856</v>
      </c>
      <c r="AC266" s="13">
        <f t="shared" si="32"/>
        <v>0</v>
      </c>
    </row>
    <row r="267" spans="1:29" x14ac:dyDescent="0.25">
      <c r="A267" s="6" t="s">
        <v>297</v>
      </c>
      <c r="B267" s="2">
        <v>5</v>
      </c>
      <c r="C267" s="2" t="s">
        <v>302</v>
      </c>
      <c r="D267" s="33">
        <v>0</v>
      </c>
      <c r="E267" s="33">
        <v>0</v>
      </c>
      <c r="F267" s="3">
        <v>2472</v>
      </c>
      <c r="G267" s="3">
        <v>1261</v>
      </c>
      <c r="H267" s="33">
        <v>0</v>
      </c>
      <c r="I267" s="33">
        <v>0</v>
      </c>
      <c r="J267" s="33">
        <v>0</v>
      </c>
      <c r="K267" s="33">
        <v>0</v>
      </c>
      <c r="L267" s="33">
        <v>0</v>
      </c>
      <c r="M267" s="33">
        <v>0</v>
      </c>
      <c r="N267" s="33">
        <v>0</v>
      </c>
      <c r="O267" s="3">
        <v>2146</v>
      </c>
      <c r="P267" s="33">
        <v>0</v>
      </c>
      <c r="Q267" s="3">
        <v>823</v>
      </c>
      <c r="R267" s="3">
        <v>233</v>
      </c>
      <c r="S267" s="33">
        <v>0</v>
      </c>
      <c r="T267" s="33">
        <v>0</v>
      </c>
      <c r="U267" s="3">
        <v>0</v>
      </c>
      <c r="V267" s="33">
        <v>0</v>
      </c>
      <c r="W267" s="3">
        <v>7802</v>
      </c>
      <c r="X267" s="13">
        <f t="shared" si="27"/>
        <v>6935</v>
      </c>
      <c r="Y267" s="13">
        <f t="shared" si="28"/>
        <v>7802</v>
      </c>
      <c r="Z267" s="13">
        <f t="shared" si="29"/>
        <v>0</v>
      </c>
      <c r="AA267" s="13">
        <f t="shared" si="30"/>
        <v>24552</v>
      </c>
      <c r="AB267" s="13">
        <f t="shared" si="31"/>
        <v>19658</v>
      </c>
      <c r="AC267" s="13">
        <f t="shared" si="32"/>
        <v>0</v>
      </c>
    </row>
    <row r="268" spans="1:29" x14ac:dyDescent="0.25">
      <c r="A268" s="6" t="s">
        <v>297</v>
      </c>
      <c r="B268" s="2">
        <v>6</v>
      </c>
      <c r="C268" s="2" t="s">
        <v>303</v>
      </c>
      <c r="D268" s="33">
        <v>0</v>
      </c>
      <c r="E268" s="33">
        <v>0</v>
      </c>
      <c r="F268" s="3">
        <v>3113</v>
      </c>
      <c r="G268" s="3">
        <v>1825</v>
      </c>
      <c r="H268" s="33">
        <v>0</v>
      </c>
      <c r="I268" s="33">
        <v>0</v>
      </c>
      <c r="J268" s="33">
        <v>0</v>
      </c>
      <c r="K268" s="33">
        <v>0</v>
      </c>
      <c r="L268" s="33">
        <v>0</v>
      </c>
      <c r="M268" s="33">
        <v>0</v>
      </c>
      <c r="N268" s="33">
        <v>0</v>
      </c>
      <c r="O268" s="3">
        <v>1404</v>
      </c>
      <c r="P268" s="33">
        <v>0</v>
      </c>
      <c r="Q268" s="3">
        <v>107</v>
      </c>
      <c r="R268" s="3">
        <v>0</v>
      </c>
      <c r="S268" s="33">
        <v>0</v>
      </c>
      <c r="T268" s="33">
        <v>0</v>
      </c>
      <c r="U268" s="3">
        <v>0</v>
      </c>
      <c r="V268" s="33">
        <v>0</v>
      </c>
      <c r="W268" s="3">
        <v>1633</v>
      </c>
      <c r="X268" s="13">
        <f t="shared" si="27"/>
        <v>6449</v>
      </c>
      <c r="Y268" s="13">
        <f t="shared" si="28"/>
        <v>1633</v>
      </c>
      <c r="Z268" s="13">
        <f t="shared" si="29"/>
        <v>0</v>
      </c>
      <c r="AA268" s="13">
        <f t="shared" si="30"/>
        <v>31001</v>
      </c>
      <c r="AB268" s="13">
        <f t="shared" si="31"/>
        <v>21291</v>
      </c>
      <c r="AC268" s="13">
        <f t="shared" si="32"/>
        <v>0</v>
      </c>
    </row>
    <row r="269" spans="1:29" x14ac:dyDescent="0.25">
      <c r="A269" s="6" t="s">
        <v>297</v>
      </c>
      <c r="B269" s="2">
        <v>7</v>
      </c>
      <c r="C269" s="2" t="s">
        <v>304</v>
      </c>
      <c r="D269" s="33">
        <v>0</v>
      </c>
      <c r="E269" s="33">
        <v>0</v>
      </c>
      <c r="F269" s="3">
        <v>5498</v>
      </c>
      <c r="G269" s="3">
        <v>1157</v>
      </c>
      <c r="H269" s="33">
        <v>0</v>
      </c>
      <c r="I269" s="33">
        <v>0</v>
      </c>
      <c r="J269" s="33">
        <v>0</v>
      </c>
      <c r="K269" s="33">
        <v>0</v>
      </c>
      <c r="L269" s="33">
        <v>0</v>
      </c>
      <c r="M269" s="33">
        <v>0</v>
      </c>
      <c r="N269" s="33">
        <v>0</v>
      </c>
      <c r="O269" s="3">
        <v>1566</v>
      </c>
      <c r="P269" s="33">
        <v>0</v>
      </c>
      <c r="Q269" s="3">
        <v>205</v>
      </c>
      <c r="R269" s="3">
        <v>0</v>
      </c>
      <c r="S269" s="33">
        <v>0</v>
      </c>
      <c r="T269" s="33">
        <v>0</v>
      </c>
      <c r="U269" s="3">
        <v>0</v>
      </c>
      <c r="V269" s="33">
        <v>0</v>
      </c>
      <c r="W269" s="3">
        <v>3210</v>
      </c>
      <c r="X269" s="13">
        <f t="shared" si="27"/>
        <v>8426</v>
      </c>
      <c r="Y269" s="13">
        <f t="shared" si="28"/>
        <v>3210</v>
      </c>
      <c r="Z269" s="13">
        <f t="shared" si="29"/>
        <v>0</v>
      </c>
      <c r="AA269" s="13">
        <f t="shared" si="30"/>
        <v>39427</v>
      </c>
      <c r="AB269" s="13">
        <f t="shared" si="31"/>
        <v>24501</v>
      </c>
      <c r="AC269" s="13">
        <f t="shared" si="32"/>
        <v>0</v>
      </c>
    </row>
    <row r="270" spans="1:29" x14ac:dyDescent="0.25">
      <c r="A270" s="6" t="s">
        <v>297</v>
      </c>
      <c r="B270" s="2">
        <v>8</v>
      </c>
      <c r="C270" s="2" t="s">
        <v>305</v>
      </c>
      <c r="D270" s="33">
        <v>0</v>
      </c>
      <c r="E270" s="33">
        <v>0</v>
      </c>
      <c r="F270" s="3">
        <v>3824</v>
      </c>
      <c r="G270" s="3">
        <v>632</v>
      </c>
      <c r="H270" s="33">
        <v>0</v>
      </c>
      <c r="I270" s="33">
        <v>0</v>
      </c>
      <c r="J270" s="33">
        <v>0</v>
      </c>
      <c r="K270" s="33">
        <v>0</v>
      </c>
      <c r="L270" s="33">
        <v>0</v>
      </c>
      <c r="M270" s="33">
        <v>0</v>
      </c>
      <c r="N270" s="33">
        <v>0</v>
      </c>
      <c r="O270" s="3">
        <v>163</v>
      </c>
      <c r="P270" s="33">
        <v>0</v>
      </c>
      <c r="Q270" s="3">
        <v>37</v>
      </c>
      <c r="R270" s="3">
        <v>0</v>
      </c>
      <c r="S270" s="33">
        <v>0</v>
      </c>
      <c r="T270" s="33">
        <v>0</v>
      </c>
      <c r="U270" s="3">
        <v>0</v>
      </c>
      <c r="V270" s="33">
        <v>0</v>
      </c>
      <c r="W270" s="3">
        <v>4093</v>
      </c>
      <c r="X270" s="13">
        <f t="shared" si="27"/>
        <v>4656</v>
      </c>
      <c r="Y270" s="13">
        <f t="shared" si="28"/>
        <v>4093</v>
      </c>
      <c r="Z270" s="13">
        <f t="shared" si="29"/>
        <v>0</v>
      </c>
      <c r="AA270" s="13">
        <f t="shared" si="30"/>
        <v>44083</v>
      </c>
      <c r="AB270" s="13">
        <f t="shared" si="31"/>
        <v>28594</v>
      </c>
      <c r="AC270" s="13">
        <f t="shared" si="32"/>
        <v>0</v>
      </c>
    </row>
    <row r="271" spans="1:29" x14ac:dyDescent="0.25">
      <c r="A271" s="6" t="s">
        <v>297</v>
      </c>
      <c r="B271" s="2">
        <v>9</v>
      </c>
      <c r="C271" s="2" t="s">
        <v>306</v>
      </c>
      <c r="D271" s="33">
        <v>0</v>
      </c>
      <c r="E271" s="33">
        <v>0</v>
      </c>
      <c r="F271" s="3">
        <v>5445</v>
      </c>
      <c r="G271" s="3">
        <v>0</v>
      </c>
      <c r="H271" s="33">
        <v>0</v>
      </c>
      <c r="I271" s="33">
        <v>0</v>
      </c>
      <c r="J271" s="33">
        <v>0</v>
      </c>
      <c r="K271" s="33">
        <v>0</v>
      </c>
      <c r="L271" s="33">
        <v>0</v>
      </c>
      <c r="M271" s="33">
        <v>0</v>
      </c>
      <c r="N271" s="33">
        <v>0</v>
      </c>
      <c r="O271" s="3">
        <v>7575</v>
      </c>
      <c r="P271" s="33">
        <v>0</v>
      </c>
      <c r="Q271" s="3">
        <v>108</v>
      </c>
      <c r="R271" s="3">
        <v>108</v>
      </c>
      <c r="S271" s="33">
        <v>0</v>
      </c>
      <c r="T271" s="33">
        <v>0</v>
      </c>
      <c r="U271" s="3">
        <v>0</v>
      </c>
      <c r="V271" s="33">
        <v>0</v>
      </c>
      <c r="W271" s="3">
        <v>2344</v>
      </c>
      <c r="X271" s="13">
        <f t="shared" si="27"/>
        <v>13236</v>
      </c>
      <c r="Y271" s="13">
        <f t="shared" si="28"/>
        <v>2344</v>
      </c>
      <c r="Z271" s="13">
        <f t="shared" si="29"/>
        <v>0</v>
      </c>
      <c r="AA271" s="13">
        <f t="shared" si="30"/>
        <v>57319</v>
      </c>
      <c r="AB271" s="13">
        <f t="shared" si="31"/>
        <v>30938</v>
      </c>
      <c r="AC271" s="13">
        <f t="shared" si="32"/>
        <v>0</v>
      </c>
    </row>
    <row r="272" spans="1:29" x14ac:dyDescent="0.25">
      <c r="A272" s="6" t="s">
        <v>297</v>
      </c>
      <c r="B272" s="2">
        <v>10</v>
      </c>
      <c r="C272" s="2" t="s">
        <v>307</v>
      </c>
      <c r="D272" s="33">
        <v>0</v>
      </c>
      <c r="E272" s="33">
        <v>0</v>
      </c>
      <c r="F272" s="3">
        <v>4293</v>
      </c>
      <c r="G272" s="3">
        <v>0</v>
      </c>
      <c r="H272" s="33">
        <v>0</v>
      </c>
      <c r="I272" s="33">
        <v>0</v>
      </c>
      <c r="J272" s="33">
        <v>0</v>
      </c>
      <c r="K272" s="33">
        <v>0</v>
      </c>
      <c r="L272" s="33">
        <v>0</v>
      </c>
      <c r="M272" s="33">
        <v>0</v>
      </c>
      <c r="N272" s="33">
        <v>0</v>
      </c>
      <c r="O272" s="3">
        <v>223</v>
      </c>
      <c r="P272" s="33">
        <v>0</v>
      </c>
      <c r="Q272" s="3">
        <v>547</v>
      </c>
      <c r="R272" s="3">
        <v>0</v>
      </c>
      <c r="S272" s="33">
        <v>0</v>
      </c>
      <c r="T272" s="33">
        <v>0</v>
      </c>
      <c r="U272" s="3">
        <v>0</v>
      </c>
      <c r="V272" s="33">
        <v>0</v>
      </c>
      <c r="W272" s="3">
        <v>0</v>
      </c>
      <c r="X272" s="13">
        <f t="shared" si="27"/>
        <v>5063</v>
      </c>
      <c r="Y272" s="13">
        <f t="shared" si="28"/>
        <v>0</v>
      </c>
      <c r="Z272" s="13">
        <f t="shared" si="29"/>
        <v>0</v>
      </c>
      <c r="AA272" s="13">
        <f t="shared" si="30"/>
        <v>62382</v>
      </c>
      <c r="AB272" s="13">
        <f t="shared" si="31"/>
        <v>30938</v>
      </c>
      <c r="AC272" s="13">
        <f t="shared" si="32"/>
        <v>0</v>
      </c>
    </row>
    <row r="273" spans="1:29" x14ac:dyDescent="0.25">
      <c r="A273" s="6" t="s">
        <v>297</v>
      </c>
      <c r="B273" s="2">
        <v>11</v>
      </c>
      <c r="C273" s="2" t="s">
        <v>308</v>
      </c>
      <c r="D273" s="33">
        <v>0</v>
      </c>
      <c r="E273" s="33">
        <v>0</v>
      </c>
      <c r="F273" s="3">
        <v>1898</v>
      </c>
      <c r="G273" s="3">
        <v>55</v>
      </c>
      <c r="H273" s="33">
        <v>0</v>
      </c>
      <c r="I273" s="33">
        <v>0</v>
      </c>
      <c r="J273" s="33">
        <v>0</v>
      </c>
      <c r="K273" s="33">
        <v>0</v>
      </c>
      <c r="L273" s="33">
        <v>0</v>
      </c>
      <c r="M273" s="33">
        <v>0</v>
      </c>
      <c r="N273" s="33">
        <v>0</v>
      </c>
      <c r="O273" s="3">
        <v>2017</v>
      </c>
      <c r="P273" s="33">
        <v>0</v>
      </c>
      <c r="Q273" s="3">
        <v>504</v>
      </c>
      <c r="R273" s="3">
        <v>0</v>
      </c>
      <c r="S273" s="33">
        <v>0</v>
      </c>
      <c r="T273" s="33">
        <v>0</v>
      </c>
      <c r="U273" s="3">
        <v>0</v>
      </c>
      <c r="V273" s="33">
        <v>0</v>
      </c>
      <c r="W273" s="3">
        <v>0</v>
      </c>
      <c r="X273" s="13">
        <f t="shared" si="27"/>
        <v>4474</v>
      </c>
      <c r="Y273" s="13">
        <f t="shared" si="28"/>
        <v>0</v>
      </c>
      <c r="Z273" s="13">
        <f t="shared" si="29"/>
        <v>0</v>
      </c>
      <c r="AA273" s="13">
        <f t="shared" si="30"/>
        <v>66856</v>
      </c>
      <c r="AB273" s="13">
        <f t="shared" si="31"/>
        <v>30938</v>
      </c>
      <c r="AC273" s="13">
        <f t="shared" si="32"/>
        <v>0</v>
      </c>
    </row>
    <row r="274" spans="1:29" x14ac:dyDescent="0.25">
      <c r="A274" s="6" t="s">
        <v>297</v>
      </c>
      <c r="B274" s="2">
        <v>12</v>
      </c>
      <c r="C274" s="2" t="s">
        <v>309</v>
      </c>
      <c r="D274" s="33">
        <v>0</v>
      </c>
      <c r="E274" s="33">
        <v>0</v>
      </c>
      <c r="F274" s="3">
        <v>2626</v>
      </c>
      <c r="G274" s="3">
        <v>0</v>
      </c>
      <c r="H274" s="33">
        <v>0</v>
      </c>
      <c r="I274" s="33">
        <v>0</v>
      </c>
      <c r="J274" s="33">
        <v>0</v>
      </c>
      <c r="K274" s="33">
        <v>0</v>
      </c>
      <c r="L274" s="33">
        <v>0</v>
      </c>
      <c r="M274" s="33">
        <v>0</v>
      </c>
      <c r="N274" s="33">
        <v>0</v>
      </c>
      <c r="O274" s="3">
        <v>2608</v>
      </c>
      <c r="P274" s="33">
        <v>0</v>
      </c>
      <c r="Q274" s="3">
        <v>684</v>
      </c>
      <c r="R274" s="3">
        <v>0</v>
      </c>
      <c r="S274" s="33">
        <v>0</v>
      </c>
      <c r="T274" s="33">
        <v>0</v>
      </c>
      <c r="U274" s="3">
        <v>0</v>
      </c>
      <c r="V274" s="33">
        <v>0</v>
      </c>
      <c r="W274" s="3">
        <v>210</v>
      </c>
      <c r="X274" s="13">
        <f t="shared" si="27"/>
        <v>5918</v>
      </c>
      <c r="Y274" s="13">
        <f t="shared" si="28"/>
        <v>210</v>
      </c>
      <c r="Z274" s="13">
        <f t="shared" si="29"/>
        <v>0</v>
      </c>
      <c r="AA274" s="13">
        <f t="shared" si="30"/>
        <v>72774</v>
      </c>
      <c r="AB274" s="13">
        <f t="shared" si="31"/>
        <v>31148</v>
      </c>
      <c r="AC274" s="13">
        <f t="shared" si="32"/>
        <v>0</v>
      </c>
    </row>
    <row r="275" spans="1:29" x14ac:dyDescent="0.25">
      <c r="A275" s="6" t="s">
        <v>297</v>
      </c>
      <c r="B275" s="2">
        <v>13</v>
      </c>
      <c r="C275" s="2" t="s">
        <v>310</v>
      </c>
      <c r="D275" s="33">
        <v>0</v>
      </c>
      <c r="E275" s="33">
        <v>0</v>
      </c>
      <c r="F275" s="3">
        <v>3916</v>
      </c>
      <c r="G275" s="3">
        <v>60</v>
      </c>
      <c r="H275" s="33">
        <v>0</v>
      </c>
      <c r="I275" s="33">
        <v>0</v>
      </c>
      <c r="J275" s="33">
        <v>0</v>
      </c>
      <c r="K275" s="33">
        <v>0</v>
      </c>
      <c r="L275" s="33">
        <v>0</v>
      </c>
      <c r="M275" s="33">
        <v>0</v>
      </c>
      <c r="N275" s="33">
        <v>0</v>
      </c>
      <c r="O275" s="3">
        <v>4135</v>
      </c>
      <c r="P275" s="33">
        <v>0</v>
      </c>
      <c r="Q275" s="3">
        <v>836</v>
      </c>
      <c r="R275" s="3">
        <v>70</v>
      </c>
      <c r="S275" s="33">
        <v>0</v>
      </c>
      <c r="T275" s="33">
        <v>0</v>
      </c>
      <c r="U275" s="3">
        <v>0</v>
      </c>
      <c r="V275" s="33">
        <v>0</v>
      </c>
      <c r="W275" s="3">
        <v>1465</v>
      </c>
      <c r="X275" s="13">
        <f t="shared" si="27"/>
        <v>9017</v>
      </c>
      <c r="Y275" s="13">
        <f t="shared" si="28"/>
        <v>1465</v>
      </c>
      <c r="Z275" s="13">
        <f t="shared" si="29"/>
        <v>0</v>
      </c>
      <c r="AA275" s="13">
        <f t="shared" si="30"/>
        <v>81791</v>
      </c>
      <c r="AB275" s="13">
        <f t="shared" si="31"/>
        <v>32613</v>
      </c>
      <c r="AC275" s="13">
        <f t="shared" si="32"/>
        <v>0</v>
      </c>
    </row>
    <row r="276" spans="1:29" x14ac:dyDescent="0.25">
      <c r="A276" s="6" t="s">
        <v>297</v>
      </c>
      <c r="B276" s="2">
        <v>14</v>
      </c>
      <c r="C276" s="2" t="s">
        <v>311</v>
      </c>
      <c r="D276" s="33">
        <v>0</v>
      </c>
      <c r="E276" s="33">
        <v>0</v>
      </c>
      <c r="F276" s="3">
        <v>4293</v>
      </c>
      <c r="G276" s="3">
        <v>98</v>
      </c>
      <c r="H276" s="33">
        <v>0</v>
      </c>
      <c r="I276" s="33">
        <v>0</v>
      </c>
      <c r="J276" s="33">
        <v>0</v>
      </c>
      <c r="K276" s="33">
        <v>0</v>
      </c>
      <c r="L276" s="33">
        <v>0</v>
      </c>
      <c r="M276" s="33">
        <v>0</v>
      </c>
      <c r="N276" s="33">
        <v>0</v>
      </c>
      <c r="O276" s="3">
        <v>1174</v>
      </c>
      <c r="P276" s="33">
        <v>0</v>
      </c>
      <c r="Q276" s="3">
        <v>354</v>
      </c>
      <c r="R276" s="3">
        <v>0</v>
      </c>
      <c r="S276" s="33">
        <v>0</v>
      </c>
      <c r="T276" s="33">
        <v>0</v>
      </c>
      <c r="U276" s="3">
        <v>17866</v>
      </c>
      <c r="V276" s="33">
        <v>0</v>
      </c>
      <c r="W276" s="3">
        <v>422</v>
      </c>
      <c r="X276" s="13">
        <f t="shared" si="27"/>
        <v>5919</v>
      </c>
      <c r="Y276" s="13">
        <f t="shared" si="28"/>
        <v>422</v>
      </c>
      <c r="Z276" s="13">
        <f t="shared" si="29"/>
        <v>17866</v>
      </c>
      <c r="AA276" s="13">
        <f t="shared" si="30"/>
        <v>87710</v>
      </c>
      <c r="AB276" s="13">
        <f t="shared" si="31"/>
        <v>33035</v>
      </c>
      <c r="AC276" s="13">
        <f t="shared" si="32"/>
        <v>17866</v>
      </c>
    </row>
    <row r="277" spans="1:29" x14ac:dyDescent="0.25">
      <c r="A277" s="6" t="s">
        <v>297</v>
      </c>
      <c r="B277" s="2">
        <v>15</v>
      </c>
      <c r="C277" s="2" t="s">
        <v>312</v>
      </c>
      <c r="D277" s="33">
        <v>0</v>
      </c>
      <c r="E277" s="33">
        <v>0</v>
      </c>
      <c r="F277" s="3">
        <v>3204</v>
      </c>
      <c r="G277" s="3">
        <v>68</v>
      </c>
      <c r="H277" s="33">
        <v>0</v>
      </c>
      <c r="I277" s="33">
        <v>0</v>
      </c>
      <c r="J277" s="33">
        <v>0</v>
      </c>
      <c r="K277" s="33">
        <v>0</v>
      </c>
      <c r="L277" s="33">
        <v>0</v>
      </c>
      <c r="M277" s="33">
        <v>0</v>
      </c>
      <c r="N277" s="33">
        <v>0</v>
      </c>
      <c r="O277" s="3">
        <v>1578</v>
      </c>
      <c r="P277" s="33">
        <v>0</v>
      </c>
      <c r="Q277" s="3">
        <v>770</v>
      </c>
      <c r="R277" s="3">
        <v>0</v>
      </c>
      <c r="S277" s="33">
        <v>0</v>
      </c>
      <c r="T277" s="33">
        <v>0</v>
      </c>
      <c r="U277" s="3">
        <v>15134</v>
      </c>
      <c r="V277" s="33">
        <v>0</v>
      </c>
      <c r="W277" s="3">
        <v>0</v>
      </c>
      <c r="X277" s="13">
        <f t="shared" si="27"/>
        <v>5620</v>
      </c>
      <c r="Y277" s="13">
        <f t="shared" si="28"/>
        <v>0</v>
      </c>
      <c r="Z277" s="13">
        <f t="shared" si="29"/>
        <v>15134</v>
      </c>
      <c r="AA277" s="13">
        <f t="shared" si="30"/>
        <v>93330</v>
      </c>
      <c r="AB277" s="13">
        <f t="shared" si="31"/>
        <v>33035</v>
      </c>
      <c r="AC277" s="13">
        <f t="shared" si="32"/>
        <v>33000</v>
      </c>
    </row>
    <row r="278" spans="1:29" x14ac:dyDescent="0.25">
      <c r="A278" s="6" t="s">
        <v>297</v>
      </c>
      <c r="B278" s="2">
        <v>16</v>
      </c>
      <c r="C278" s="2" t="s">
        <v>313</v>
      </c>
      <c r="D278" s="33">
        <v>0</v>
      </c>
      <c r="E278" s="33">
        <v>0</v>
      </c>
      <c r="F278" s="3">
        <v>3123</v>
      </c>
      <c r="G278" s="3">
        <v>0</v>
      </c>
      <c r="H278" s="33">
        <v>0</v>
      </c>
      <c r="I278" s="33">
        <v>0</v>
      </c>
      <c r="J278" s="33">
        <v>0</v>
      </c>
      <c r="K278" s="33">
        <v>0</v>
      </c>
      <c r="L278" s="33">
        <v>0</v>
      </c>
      <c r="M278" s="33">
        <v>0</v>
      </c>
      <c r="N278" s="33">
        <v>0</v>
      </c>
      <c r="O278" s="3">
        <v>2310</v>
      </c>
      <c r="P278" s="33">
        <v>0</v>
      </c>
      <c r="Q278" s="3">
        <v>590</v>
      </c>
      <c r="R278" s="3">
        <v>968</v>
      </c>
      <c r="S278" s="33">
        <v>0</v>
      </c>
      <c r="T278" s="33">
        <v>0</v>
      </c>
      <c r="U278" s="3">
        <v>33001</v>
      </c>
      <c r="V278" s="33">
        <v>0</v>
      </c>
      <c r="W278" s="3">
        <v>0</v>
      </c>
      <c r="X278" s="13">
        <f t="shared" si="27"/>
        <v>6991</v>
      </c>
      <c r="Y278" s="13">
        <f t="shared" si="28"/>
        <v>0</v>
      </c>
      <c r="Z278" s="13">
        <f t="shared" si="29"/>
        <v>33001</v>
      </c>
      <c r="AA278" s="13">
        <f t="shared" si="30"/>
        <v>100321</v>
      </c>
      <c r="AB278" s="13">
        <f t="shared" si="31"/>
        <v>33035</v>
      </c>
      <c r="AC278" s="13">
        <f t="shared" si="32"/>
        <v>66001</v>
      </c>
    </row>
    <row r="279" spans="1:29" x14ac:dyDescent="0.25">
      <c r="A279" s="6" t="s">
        <v>297</v>
      </c>
      <c r="B279" s="2">
        <v>17</v>
      </c>
      <c r="C279" s="2" t="s">
        <v>314</v>
      </c>
      <c r="D279" s="33">
        <v>0</v>
      </c>
      <c r="E279" s="33">
        <v>0</v>
      </c>
      <c r="F279" s="3">
        <v>5273</v>
      </c>
      <c r="G279" s="3">
        <v>66</v>
      </c>
      <c r="H279" s="33">
        <v>0</v>
      </c>
      <c r="I279" s="33">
        <v>0</v>
      </c>
      <c r="J279" s="33">
        <v>0</v>
      </c>
      <c r="K279" s="33">
        <v>0</v>
      </c>
      <c r="L279" s="33">
        <v>0</v>
      </c>
      <c r="M279" s="33">
        <v>0</v>
      </c>
      <c r="N279" s="33">
        <v>0</v>
      </c>
      <c r="O279" s="3">
        <v>618</v>
      </c>
      <c r="P279" s="33">
        <v>0</v>
      </c>
      <c r="Q279" s="3">
        <v>767</v>
      </c>
      <c r="R279" s="3">
        <v>2789</v>
      </c>
      <c r="S279" s="33">
        <v>0</v>
      </c>
      <c r="T279" s="33">
        <v>0</v>
      </c>
      <c r="U279" s="3">
        <v>0</v>
      </c>
      <c r="V279" s="33">
        <v>0</v>
      </c>
      <c r="W279" s="3">
        <v>0</v>
      </c>
      <c r="X279" s="13">
        <f t="shared" si="27"/>
        <v>9513</v>
      </c>
      <c r="Y279" s="13">
        <f t="shared" si="28"/>
        <v>0</v>
      </c>
      <c r="Z279" s="13">
        <f t="shared" si="29"/>
        <v>0</v>
      </c>
      <c r="AA279" s="13">
        <f t="shared" si="30"/>
        <v>109834</v>
      </c>
      <c r="AB279" s="13">
        <f t="shared" si="31"/>
        <v>33035</v>
      </c>
      <c r="AC279" s="13">
        <f t="shared" si="32"/>
        <v>66001</v>
      </c>
    </row>
    <row r="280" spans="1:29" x14ac:dyDescent="0.25">
      <c r="A280" s="6" t="s">
        <v>297</v>
      </c>
      <c r="B280" s="2">
        <v>18</v>
      </c>
      <c r="C280" s="2" t="s">
        <v>315</v>
      </c>
      <c r="D280" s="33">
        <v>0</v>
      </c>
      <c r="E280" s="33">
        <v>0</v>
      </c>
      <c r="F280" s="3">
        <v>5108</v>
      </c>
      <c r="G280" s="3">
        <v>99</v>
      </c>
      <c r="H280" s="33">
        <v>0</v>
      </c>
      <c r="I280" s="33">
        <v>0</v>
      </c>
      <c r="J280" s="33">
        <v>0</v>
      </c>
      <c r="K280" s="33">
        <v>0</v>
      </c>
      <c r="L280" s="33">
        <v>0</v>
      </c>
      <c r="M280" s="33">
        <v>0</v>
      </c>
      <c r="N280" s="33">
        <v>0</v>
      </c>
      <c r="O280" s="3">
        <v>1182</v>
      </c>
      <c r="P280" s="33">
        <v>0</v>
      </c>
      <c r="Q280" s="3">
        <v>1667</v>
      </c>
      <c r="R280" s="3">
        <v>1670</v>
      </c>
      <c r="S280" s="33">
        <v>0</v>
      </c>
      <c r="T280" s="33">
        <v>0</v>
      </c>
      <c r="U280" s="3">
        <v>0</v>
      </c>
      <c r="V280" s="33">
        <v>0</v>
      </c>
      <c r="W280" s="3">
        <v>391</v>
      </c>
      <c r="X280" s="13">
        <f t="shared" si="27"/>
        <v>9726</v>
      </c>
      <c r="Y280" s="13">
        <f t="shared" si="28"/>
        <v>391</v>
      </c>
      <c r="Z280" s="13">
        <f t="shared" si="29"/>
        <v>0</v>
      </c>
      <c r="AA280" s="13">
        <f t="shared" si="30"/>
        <v>119560</v>
      </c>
      <c r="AB280" s="13">
        <f t="shared" si="31"/>
        <v>33426</v>
      </c>
      <c r="AC280" s="13">
        <f t="shared" si="32"/>
        <v>66001</v>
      </c>
    </row>
    <row r="281" spans="1:29" x14ac:dyDescent="0.25">
      <c r="A281" s="6" t="s">
        <v>297</v>
      </c>
      <c r="B281" s="2">
        <v>19</v>
      </c>
      <c r="C281" s="2" t="s">
        <v>316</v>
      </c>
      <c r="D281" s="33">
        <v>0</v>
      </c>
      <c r="E281" s="33">
        <v>0</v>
      </c>
      <c r="F281" s="3">
        <v>3292</v>
      </c>
      <c r="G281" s="3">
        <v>199</v>
      </c>
      <c r="H281" s="33">
        <v>0</v>
      </c>
      <c r="I281" s="33">
        <v>0</v>
      </c>
      <c r="J281" s="33">
        <v>0</v>
      </c>
      <c r="K281" s="33">
        <v>0</v>
      </c>
      <c r="L281" s="33">
        <v>0</v>
      </c>
      <c r="M281" s="33">
        <v>0</v>
      </c>
      <c r="N281" s="33">
        <v>0</v>
      </c>
      <c r="O281" s="3">
        <v>1839</v>
      </c>
      <c r="P281" s="33">
        <v>0</v>
      </c>
      <c r="Q281" s="3">
        <v>11005</v>
      </c>
      <c r="R281" s="3">
        <v>2489</v>
      </c>
      <c r="S281" s="33">
        <v>0</v>
      </c>
      <c r="T281" s="33">
        <v>0</v>
      </c>
      <c r="U281" s="3">
        <v>0</v>
      </c>
      <c r="V281" s="33">
        <v>0</v>
      </c>
      <c r="W281" s="3">
        <v>0</v>
      </c>
      <c r="X281" s="13">
        <f t="shared" si="27"/>
        <v>18824</v>
      </c>
      <c r="Y281" s="13">
        <f t="shared" si="28"/>
        <v>0</v>
      </c>
      <c r="Z281" s="13">
        <f t="shared" si="29"/>
        <v>0</v>
      </c>
      <c r="AA281" s="13">
        <f t="shared" si="30"/>
        <v>138384</v>
      </c>
      <c r="AB281" s="13">
        <f t="shared" si="31"/>
        <v>33426</v>
      </c>
      <c r="AC281" s="13">
        <f t="shared" si="32"/>
        <v>66001</v>
      </c>
    </row>
    <row r="282" spans="1:29" x14ac:dyDescent="0.25">
      <c r="A282" s="6" t="s">
        <v>297</v>
      </c>
      <c r="B282" s="2">
        <v>20</v>
      </c>
      <c r="C282" s="2" t="s">
        <v>317</v>
      </c>
      <c r="D282" s="33">
        <v>0</v>
      </c>
      <c r="E282" s="33">
        <v>0</v>
      </c>
      <c r="F282" s="3">
        <v>3294</v>
      </c>
      <c r="G282" s="3">
        <v>236</v>
      </c>
      <c r="H282" s="33">
        <v>0</v>
      </c>
      <c r="I282" s="33">
        <v>0</v>
      </c>
      <c r="J282" s="33">
        <v>0</v>
      </c>
      <c r="K282" s="33">
        <v>0</v>
      </c>
      <c r="L282" s="33">
        <v>0</v>
      </c>
      <c r="M282" s="33">
        <v>0</v>
      </c>
      <c r="N282" s="33">
        <v>0</v>
      </c>
      <c r="O282" s="3">
        <v>1965</v>
      </c>
      <c r="P282" s="33">
        <v>0</v>
      </c>
      <c r="Q282" s="3">
        <v>0</v>
      </c>
      <c r="R282" s="3">
        <v>1258</v>
      </c>
      <c r="S282" s="33">
        <v>0</v>
      </c>
      <c r="T282" s="33">
        <v>0</v>
      </c>
      <c r="U282" s="3">
        <v>0</v>
      </c>
      <c r="V282" s="33">
        <v>0</v>
      </c>
      <c r="W282" s="3">
        <v>792</v>
      </c>
      <c r="X282" s="13">
        <f t="shared" si="27"/>
        <v>6753</v>
      </c>
      <c r="Y282" s="13">
        <f t="shared" si="28"/>
        <v>792</v>
      </c>
      <c r="Z282" s="13">
        <f t="shared" si="29"/>
        <v>0</v>
      </c>
      <c r="AA282" s="13">
        <f t="shared" si="30"/>
        <v>145137</v>
      </c>
      <c r="AB282" s="13">
        <f t="shared" si="31"/>
        <v>34218</v>
      </c>
      <c r="AC282" s="13">
        <f t="shared" si="32"/>
        <v>66001</v>
      </c>
    </row>
    <row r="283" spans="1:29" x14ac:dyDescent="0.25">
      <c r="A283" s="6" t="s">
        <v>297</v>
      </c>
      <c r="B283" s="2">
        <v>21</v>
      </c>
      <c r="C283" s="2" t="s">
        <v>318</v>
      </c>
      <c r="D283" s="33">
        <v>0</v>
      </c>
      <c r="E283" s="33">
        <v>0</v>
      </c>
      <c r="F283" s="3">
        <v>3944</v>
      </c>
      <c r="G283" s="3">
        <v>419</v>
      </c>
      <c r="H283" s="33">
        <v>0</v>
      </c>
      <c r="I283" s="33">
        <v>0</v>
      </c>
      <c r="J283" s="33">
        <v>0</v>
      </c>
      <c r="K283" s="33">
        <v>0</v>
      </c>
      <c r="L283" s="33">
        <v>0</v>
      </c>
      <c r="M283" s="33">
        <v>0</v>
      </c>
      <c r="N283" s="33">
        <v>0</v>
      </c>
      <c r="O283" s="3">
        <v>2375</v>
      </c>
      <c r="P283" s="33">
        <v>0</v>
      </c>
      <c r="Q283" s="3">
        <v>2362</v>
      </c>
      <c r="R283" s="3">
        <v>1269</v>
      </c>
      <c r="S283" s="33">
        <v>0</v>
      </c>
      <c r="T283" s="33">
        <v>0</v>
      </c>
      <c r="U283" s="3">
        <v>0</v>
      </c>
      <c r="V283" s="33">
        <v>0</v>
      </c>
      <c r="W283" s="3">
        <v>708</v>
      </c>
      <c r="X283" s="13">
        <f t="shared" si="27"/>
        <v>10369</v>
      </c>
      <c r="Y283" s="13">
        <f t="shared" si="28"/>
        <v>708</v>
      </c>
      <c r="Z283" s="13">
        <f t="shared" si="29"/>
        <v>0</v>
      </c>
      <c r="AA283" s="13">
        <f t="shared" si="30"/>
        <v>155506</v>
      </c>
      <c r="AB283" s="13">
        <f t="shared" si="31"/>
        <v>34926</v>
      </c>
      <c r="AC283" s="13">
        <f t="shared" si="32"/>
        <v>66001</v>
      </c>
    </row>
    <row r="284" spans="1:29" x14ac:dyDescent="0.25">
      <c r="A284" s="6" t="s">
        <v>297</v>
      </c>
      <c r="B284" s="2">
        <v>22</v>
      </c>
      <c r="C284" s="2" t="s">
        <v>319</v>
      </c>
      <c r="D284" s="33">
        <v>0</v>
      </c>
      <c r="E284" s="33">
        <v>0</v>
      </c>
      <c r="F284" s="3">
        <v>3525</v>
      </c>
      <c r="G284" s="3">
        <v>138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">
        <v>4674</v>
      </c>
      <c r="P284" s="33">
        <v>0</v>
      </c>
      <c r="Q284" s="3">
        <v>624</v>
      </c>
      <c r="R284" s="3">
        <v>2436</v>
      </c>
      <c r="S284" s="33">
        <v>0</v>
      </c>
      <c r="T284" s="33">
        <v>0</v>
      </c>
      <c r="U284" s="3">
        <v>0</v>
      </c>
      <c r="V284" s="33">
        <v>0</v>
      </c>
      <c r="W284" s="3">
        <v>10190</v>
      </c>
      <c r="X284" s="13">
        <f t="shared" si="27"/>
        <v>11397</v>
      </c>
      <c r="Y284" s="13">
        <f t="shared" si="28"/>
        <v>10190</v>
      </c>
      <c r="Z284" s="13">
        <f t="shared" si="29"/>
        <v>0</v>
      </c>
      <c r="AA284" s="13">
        <f t="shared" si="30"/>
        <v>166903</v>
      </c>
      <c r="AB284" s="13">
        <f t="shared" si="31"/>
        <v>45116</v>
      </c>
      <c r="AC284" s="13">
        <f t="shared" si="32"/>
        <v>66001</v>
      </c>
    </row>
    <row r="285" spans="1:29" x14ac:dyDescent="0.25">
      <c r="A285" s="6" t="s">
        <v>297</v>
      </c>
      <c r="B285" s="2">
        <v>23</v>
      </c>
      <c r="C285" s="2" t="s">
        <v>320</v>
      </c>
      <c r="D285" s="33">
        <v>0</v>
      </c>
      <c r="E285" s="33">
        <v>0</v>
      </c>
      <c r="F285" s="3">
        <v>2630</v>
      </c>
      <c r="G285" s="3">
        <v>0</v>
      </c>
      <c r="H285" s="33">
        <v>0</v>
      </c>
      <c r="I285" s="33">
        <v>0</v>
      </c>
      <c r="J285" s="33">
        <v>0</v>
      </c>
      <c r="K285" s="33">
        <v>0</v>
      </c>
      <c r="L285" s="33">
        <v>0</v>
      </c>
      <c r="M285" s="33">
        <v>0</v>
      </c>
      <c r="N285" s="33">
        <v>0</v>
      </c>
      <c r="O285" s="3">
        <v>413</v>
      </c>
      <c r="P285" s="33">
        <v>0</v>
      </c>
      <c r="Q285" s="3">
        <v>575</v>
      </c>
      <c r="R285" s="3">
        <v>3685</v>
      </c>
      <c r="S285" s="33">
        <v>0</v>
      </c>
      <c r="T285" s="33">
        <v>0</v>
      </c>
      <c r="U285" s="3">
        <v>0</v>
      </c>
      <c r="V285" s="33">
        <v>0</v>
      </c>
      <c r="W285" s="3">
        <v>10015</v>
      </c>
      <c r="X285" s="13">
        <f t="shared" si="27"/>
        <v>7303</v>
      </c>
      <c r="Y285" s="13">
        <f t="shared" si="28"/>
        <v>10015</v>
      </c>
      <c r="Z285" s="13">
        <f t="shared" si="29"/>
        <v>0</v>
      </c>
      <c r="AA285" s="13">
        <f t="shared" si="30"/>
        <v>174206</v>
      </c>
      <c r="AB285" s="13">
        <f t="shared" si="31"/>
        <v>55131</v>
      </c>
      <c r="AC285" s="13">
        <f t="shared" si="32"/>
        <v>66001</v>
      </c>
    </row>
    <row r="286" spans="1:29" x14ac:dyDescent="0.25">
      <c r="A286" s="6" t="s">
        <v>297</v>
      </c>
      <c r="B286" s="2">
        <v>24</v>
      </c>
      <c r="C286" s="2" t="s">
        <v>321</v>
      </c>
      <c r="D286" s="33">
        <v>0</v>
      </c>
      <c r="E286" s="33">
        <v>0</v>
      </c>
      <c r="F286" s="3">
        <v>2720</v>
      </c>
      <c r="G286" s="3">
        <v>0</v>
      </c>
      <c r="H286" s="33">
        <v>0</v>
      </c>
      <c r="I286" s="33">
        <v>0</v>
      </c>
      <c r="J286" s="33">
        <v>0</v>
      </c>
      <c r="K286" s="33">
        <v>0</v>
      </c>
      <c r="L286" s="33">
        <v>0</v>
      </c>
      <c r="M286" s="33">
        <v>0</v>
      </c>
      <c r="N286" s="33">
        <v>0</v>
      </c>
      <c r="O286" s="3">
        <v>1114</v>
      </c>
      <c r="P286" s="33">
        <v>0</v>
      </c>
      <c r="Q286" s="3">
        <v>437</v>
      </c>
      <c r="R286" s="3">
        <v>4504</v>
      </c>
      <c r="S286" s="33">
        <v>0</v>
      </c>
      <c r="T286" s="33">
        <v>0</v>
      </c>
      <c r="U286" s="3">
        <v>0</v>
      </c>
      <c r="V286" s="33">
        <v>0</v>
      </c>
      <c r="W286" s="3">
        <v>16356</v>
      </c>
      <c r="X286" s="13">
        <f t="shared" si="27"/>
        <v>8775</v>
      </c>
      <c r="Y286" s="13">
        <f t="shared" si="28"/>
        <v>16356</v>
      </c>
      <c r="Z286" s="13">
        <f t="shared" si="29"/>
        <v>0</v>
      </c>
      <c r="AA286" s="13">
        <f t="shared" si="30"/>
        <v>182981</v>
      </c>
      <c r="AB286" s="13">
        <f t="shared" si="31"/>
        <v>71487</v>
      </c>
      <c r="AC286" s="13">
        <f t="shared" si="32"/>
        <v>66001</v>
      </c>
    </row>
    <row r="287" spans="1:29" x14ac:dyDescent="0.25">
      <c r="A287" s="6" t="s">
        <v>297</v>
      </c>
      <c r="B287" s="2">
        <v>25</v>
      </c>
      <c r="C287" s="2" t="s">
        <v>322</v>
      </c>
      <c r="D287" s="33">
        <v>0</v>
      </c>
      <c r="E287" s="33">
        <v>0</v>
      </c>
      <c r="F287" s="3">
        <v>3782</v>
      </c>
      <c r="G287" s="3">
        <v>175</v>
      </c>
      <c r="H287" s="33">
        <v>0</v>
      </c>
      <c r="I287" s="33">
        <v>0</v>
      </c>
      <c r="J287" s="33">
        <v>0</v>
      </c>
      <c r="K287" s="33">
        <v>0</v>
      </c>
      <c r="L287" s="33">
        <v>0</v>
      </c>
      <c r="M287" s="33">
        <v>0</v>
      </c>
      <c r="N287" s="33">
        <v>0</v>
      </c>
      <c r="O287" s="3">
        <v>1111</v>
      </c>
      <c r="P287" s="33">
        <v>0</v>
      </c>
      <c r="Q287" s="3">
        <v>255</v>
      </c>
      <c r="R287" s="3">
        <v>4534</v>
      </c>
      <c r="S287" s="33">
        <v>0</v>
      </c>
      <c r="T287" s="33">
        <v>0</v>
      </c>
      <c r="U287" s="3">
        <v>0</v>
      </c>
      <c r="V287" s="33">
        <v>0</v>
      </c>
      <c r="W287" s="3">
        <v>20447</v>
      </c>
      <c r="X287" s="13">
        <f t="shared" si="27"/>
        <v>9857</v>
      </c>
      <c r="Y287" s="13">
        <f t="shared" si="28"/>
        <v>20447</v>
      </c>
      <c r="Z287" s="13">
        <f t="shared" si="29"/>
        <v>0</v>
      </c>
      <c r="AA287" s="13">
        <f t="shared" si="30"/>
        <v>192838</v>
      </c>
      <c r="AB287" s="13">
        <f t="shared" si="31"/>
        <v>91934</v>
      </c>
      <c r="AC287" s="13">
        <f t="shared" si="32"/>
        <v>66001</v>
      </c>
    </row>
    <row r="288" spans="1:29" x14ac:dyDescent="0.25">
      <c r="A288" s="6" t="s">
        <v>297</v>
      </c>
      <c r="B288" s="2">
        <v>26</v>
      </c>
      <c r="C288" s="2" t="s">
        <v>323</v>
      </c>
      <c r="D288" s="33">
        <v>0</v>
      </c>
      <c r="E288" s="33">
        <v>0</v>
      </c>
      <c r="F288" s="3">
        <v>3912</v>
      </c>
      <c r="G288" s="3">
        <v>1527</v>
      </c>
      <c r="H288" s="33">
        <v>0</v>
      </c>
      <c r="I288" s="33">
        <v>0</v>
      </c>
      <c r="J288" s="33">
        <v>0</v>
      </c>
      <c r="K288" s="33">
        <v>0</v>
      </c>
      <c r="L288" s="33">
        <v>0</v>
      </c>
      <c r="M288" s="33">
        <v>0</v>
      </c>
      <c r="N288" s="33">
        <v>0</v>
      </c>
      <c r="O288" s="3">
        <v>1239</v>
      </c>
      <c r="P288" s="33">
        <v>0</v>
      </c>
      <c r="Q288" s="3">
        <v>21211</v>
      </c>
      <c r="R288" s="3">
        <v>4117</v>
      </c>
      <c r="S288" s="33">
        <v>0</v>
      </c>
      <c r="T288" s="33">
        <v>0</v>
      </c>
      <c r="U288" s="3">
        <v>0</v>
      </c>
      <c r="V288" s="33">
        <v>0</v>
      </c>
      <c r="W288" s="3">
        <v>16662</v>
      </c>
      <c r="X288" s="13">
        <f t="shared" si="27"/>
        <v>32006</v>
      </c>
      <c r="Y288" s="13">
        <f t="shared" si="28"/>
        <v>16662</v>
      </c>
      <c r="Z288" s="13">
        <f t="shared" si="29"/>
        <v>0</v>
      </c>
      <c r="AA288" s="13">
        <f t="shared" si="30"/>
        <v>224844</v>
      </c>
      <c r="AB288" s="13">
        <f t="shared" si="31"/>
        <v>108596</v>
      </c>
      <c r="AC288" s="13">
        <f t="shared" si="32"/>
        <v>66001</v>
      </c>
    </row>
    <row r="289" spans="1:29" x14ac:dyDescent="0.25">
      <c r="A289" s="6" t="s">
        <v>297</v>
      </c>
      <c r="B289" s="2">
        <v>27</v>
      </c>
      <c r="C289" s="2" t="s">
        <v>324</v>
      </c>
      <c r="D289" s="33">
        <v>0</v>
      </c>
      <c r="E289" s="33">
        <v>0</v>
      </c>
      <c r="F289" s="3">
        <v>3640</v>
      </c>
      <c r="G289" s="3">
        <v>682</v>
      </c>
      <c r="H289" s="33">
        <v>0</v>
      </c>
      <c r="I289" s="33">
        <v>0</v>
      </c>
      <c r="J289" s="33">
        <v>0</v>
      </c>
      <c r="K289" s="33">
        <v>0</v>
      </c>
      <c r="L289" s="33">
        <v>0</v>
      </c>
      <c r="M289" s="33">
        <v>0</v>
      </c>
      <c r="N289" s="33">
        <v>0</v>
      </c>
      <c r="O289" s="3">
        <v>4647</v>
      </c>
      <c r="P289" s="33">
        <v>0</v>
      </c>
      <c r="Q289" s="3">
        <v>1902</v>
      </c>
      <c r="R289" s="3">
        <v>1816</v>
      </c>
      <c r="S289" s="33">
        <v>0</v>
      </c>
      <c r="T289" s="33">
        <v>0</v>
      </c>
      <c r="U289" s="3">
        <v>0</v>
      </c>
      <c r="V289" s="33">
        <v>0</v>
      </c>
      <c r="W289" s="3">
        <v>24532</v>
      </c>
      <c r="X289" s="13">
        <f t="shared" si="27"/>
        <v>12687</v>
      </c>
      <c r="Y289" s="13">
        <f t="shared" si="28"/>
        <v>24532</v>
      </c>
      <c r="Z289" s="13">
        <f t="shared" si="29"/>
        <v>0</v>
      </c>
      <c r="AA289" s="13">
        <f t="shared" si="30"/>
        <v>237531</v>
      </c>
      <c r="AB289" s="13">
        <f t="shared" si="31"/>
        <v>133128</v>
      </c>
      <c r="AC289" s="13">
        <f t="shared" si="32"/>
        <v>66001</v>
      </c>
    </row>
    <row r="290" spans="1:29" x14ac:dyDescent="0.25">
      <c r="A290" s="6" t="s">
        <v>297</v>
      </c>
      <c r="B290" s="2">
        <v>28</v>
      </c>
      <c r="C290" s="2" t="s">
        <v>325</v>
      </c>
      <c r="D290" s="33">
        <v>0</v>
      </c>
      <c r="E290" s="33">
        <v>0</v>
      </c>
      <c r="F290" s="3">
        <v>4693</v>
      </c>
      <c r="G290" s="3">
        <v>874</v>
      </c>
      <c r="H290" s="33">
        <v>0</v>
      </c>
      <c r="I290" s="33">
        <v>0</v>
      </c>
      <c r="J290" s="33">
        <v>0</v>
      </c>
      <c r="K290" s="33">
        <v>0</v>
      </c>
      <c r="L290" s="33">
        <v>0</v>
      </c>
      <c r="M290" s="33">
        <v>0</v>
      </c>
      <c r="N290" s="33">
        <v>0</v>
      </c>
      <c r="O290" s="3">
        <v>1753</v>
      </c>
      <c r="P290" s="33">
        <v>0</v>
      </c>
      <c r="Q290" s="3">
        <v>11478</v>
      </c>
      <c r="R290" s="3">
        <v>3971</v>
      </c>
      <c r="S290" s="33">
        <v>0</v>
      </c>
      <c r="T290" s="33">
        <v>0</v>
      </c>
      <c r="U290" s="3">
        <v>0</v>
      </c>
      <c r="V290" s="33">
        <v>0</v>
      </c>
      <c r="W290" s="3">
        <v>17164</v>
      </c>
      <c r="X290" s="13">
        <f t="shared" si="27"/>
        <v>22769</v>
      </c>
      <c r="Y290" s="13">
        <f t="shared" si="28"/>
        <v>17164</v>
      </c>
      <c r="Z290" s="13">
        <f t="shared" si="29"/>
        <v>0</v>
      </c>
      <c r="AA290" s="13">
        <f t="shared" si="30"/>
        <v>260300</v>
      </c>
      <c r="AB290" s="13">
        <f t="shared" si="31"/>
        <v>150292</v>
      </c>
      <c r="AC290" s="13">
        <f t="shared" si="32"/>
        <v>66001</v>
      </c>
    </row>
    <row r="291" spans="1:29" x14ac:dyDescent="0.25">
      <c r="A291" s="6" t="s">
        <v>297</v>
      </c>
      <c r="B291" s="2">
        <v>29</v>
      </c>
      <c r="C291" s="2" t="s">
        <v>326</v>
      </c>
      <c r="D291" s="33">
        <v>0</v>
      </c>
      <c r="E291" s="33">
        <v>0</v>
      </c>
      <c r="F291" s="3">
        <v>5084</v>
      </c>
      <c r="G291" s="3">
        <v>403</v>
      </c>
      <c r="H291" s="33">
        <v>0</v>
      </c>
      <c r="I291" s="33">
        <v>0</v>
      </c>
      <c r="J291" s="33">
        <v>0</v>
      </c>
      <c r="K291" s="33">
        <v>0</v>
      </c>
      <c r="L291" s="33">
        <v>0</v>
      </c>
      <c r="M291" s="33">
        <v>0</v>
      </c>
      <c r="N291" s="33">
        <v>0</v>
      </c>
      <c r="O291" s="3">
        <v>2042</v>
      </c>
      <c r="P291" s="33">
        <v>0</v>
      </c>
      <c r="Q291" s="3">
        <v>1191</v>
      </c>
      <c r="R291" s="3">
        <v>5272</v>
      </c>
      <c r="S291" s="33">
        <v>0</v>
      </c>
      <c r="T291" s="33">
        <v>0</v>
      </c>
      <c r="U291" s="3">
        <v>0</v>
      </c>
      <c r="V291" s="33">
        <v>0</v>
      </c>
      <c r="W291" s="3">
        <v>17227</v>
      </c>
      <c r="X291" s="13">
        <f t="shared" si="27"/>
        <v>13992</v>
      </c>
      <c r="Y291" s="13">
        <f t="shared" si="28"/>
        <v>17227</v>
      </c>
      <c r="Z291" s="13">
        <f t="shared" si="29"/>
        <v>0</v>
      </c>
      <c r="AA291" s="13">
        <f t="shared" si="30"/>
        <v>274292</v>
      </c>
      <c r="AB291" s="13">
        <f t="shared" si="31"/>
        <v>167519</v>
      </c>
      <c r="AC291" s="13">
        <f t="shared" si="32"/>
        <v>66001</v>
      </c>
    </row>
    <row r="292" spans="1:29" x14ac:dyDescent="0.25">
      <c r="A292" s="6" t="s">
        <v>297</v>
      </c>
      <c r="B292" s="2">
        <v>30</v>
      </c>
      <c r="C292" s="2" t="s">
        <v>327</v>
      </c>
      <c r="D292" s="33">
        <v>0</v>
      </c>
      <c r="E292" s="33">
        <v>0</v>
      </c>
      <c r="F292" s="3">
        <v>4550</v>
      </c>
      <c r="G292" s="3">
        <v>1275</v>
      </c>
      <c r="H292" s="33">
        <v>0</v>
      </c>
      <c r="I292" s="33">
        <v>0</v>
      </c>
      <c r="J292" s="33">
        <v>0</v>
      </c>
      <c r="K292" s="33">
        <v>0</v>
      </c>
      <c r="L292" s="33">
        <v>0</v>
      </c>
      <c r="M292" s="33">
        <v>0</v>
      </c>
      <c r="N292" s="33">
        <v>0</v>
      </c>
      <c r="O292" s="3">
        <v>2326</v>
      </c>
      <c r="P292" s="33">
        <v>0</v>
      </c>
      <c r="Q292" s="3">
        <v>656</v>
      </c>
      <c r="R292" s="3">
        <v>4791</v>
      </c>
      <c r="S292" s="33">
        <v>0</v>
      </c>
      <c r="T292" s="33">
        <v>0</v>
      </c>
      <c r="U292" s="3">
        <v>0</v>
      </c>
      <c r="V292" s="33">
        <v>0</v>
      </c>
      <c r="W292" s="3">
        <v>13601</v>
      </c>
      <c r="X292" s="13">
        <f t="shared" si="27"/>
        <v>13598</v>
      </c>
      <c r="Y292" s="13">
        <f t="shared" si="28"/>
        <v>13601</v>
      </c>
      <c r="Z292" s="13">
        <f t="shared" si="29"/>
        <v>0</v>
      </c>
      <c r="AA292" s="13">
        <f t="shared" si="30"/>
        <v>287890</v>
      </c>
      <c r="AB292" s="13">
        <f t="shared" si="31"/>
        <v>181120</v>
      </c>
      <c r="AC292" s="13">
        <f t="shared" si="32"/>
        <v>66001</v>
      </c>
    </row>
    <row r="293" spans="1:29" x14ac:dyDescent="0.25">
      <c r="A293" s="6" t="s">
        <v>297</v>
      </c>
      <c r="B293" s="2">
        <v>31</v>
      </c>
      <c r="C293" s="2" t="s">
        <v>328</v>
      </c>
      <c r="D293" s="33">
        <v>0</v>
      </c>
      <c r="E293" s="33">
        <v>0</v>
      </c>
      <c r="F293" s="3">
        <v>6484</v>
      </c>
      <c r="G293" s="3">
        <v>687</v>
      </c>
      <c r="H293" s="33">
        <v>0</v>
      </c>
      <c r="I293" s="33">
        <v>0</v>
      </c>
      <c r="J293" s="33">
        <v>0</v>
      </c>
      <c r="K293" s="33">
        <v>0</v>
      </c>
      <c r="L293" s="33">
        <v>0</v>
      </c>
      <c r="M293" s="33">
        <v>0</v>
      </c>
      <c r="N293" s="33">
        <v>0</v>
      </c>
      <c r="O293" s="3">
        <v>4436</v>
      </c>
      <c r="P293" s="33">
        <v>0</v>
      </c>
      <c r="Q293" s="3">
        <v>363</v>
      </c>
      <c r="R293" s="3">
        <v>4315</v>
      </c>
      <c r="S293" s="33">
        <v>0</v>
      </c>
      <c r="T293" s="33">
        <v>0</v>
      </c>
      <c r="U293" s="3">
        <v>0</v>
      </c>
      <c r="V293" s="33">
        <v>0</v>
      </c>
      <c r="W293" s="3">
        <v>16691</v>
      </c>
      <c r="X293" s="13">
        <f t="shared" si="27"/>
        <v>16285</v>
      </c>
      <c r="Y293" s="13">
        <f t="shared" si="28"/>
        <v>16691</v>
      </c>
      <c r="Z293" s="13">
        <f t="shared" si="29"/>
        <v>0</v>
      </c>
      <c r="AA293" s="13">
        <f t="shared" si="30"/>
        <v>304175</v>
      </c>
      <c r="AB293" s="13">
        <f t="shared" si="31"/>
        <v>197811</v>
      </c>
      <c r="AC293" s="13">
        <f t="shared" si="32"/>
        <v>66001</v>
      </c>
    </row>
    <row r="294" spans="1:29" x14ac:dyDescent="0.25">
      <c r="A294" s="6" t="s">
        <v>297</v>
      </c>
      <c r="B294" s="2">
        <v>32</v>
      </c>
      <c r="C294" s="2" t="s">
        <v>329</v>
      </c>
      <c r="D294" s="33">
        <v>0</v>
      </c>
      <c r="E294" s="33">
        <v>0</v>
      </c>
      <c r="F294" s="3">
        <v>5746</v>
      </c>
      <c r="G294" s="3">
        <v>1050</v>
      </c>
      <c r="H294" s="33">
        <v>0</v>
      </c>
      <c r="I294" s="33">
        <v>0</v>
      </c>
      <c r="J294" s="33">
        <v>0</v>
      </c>
      <c r="K294" s="33">
        <v>0</v>
      </c>
      <c r="L294" s="33">
        <v>0</v>
      </c>
      <c r="M294" s="33">
        <v>0</v>
      </c>
      <c r="N294" s="33">
        <v>0</v>
      </c>
      <c r="O294" s="3">
        <v>2359</v>
      </c>
      <c r="P294" s="33">
        <v>0</v>
      </c>
      <c r="Q294" s="3">
        <v>493</v>
      </c>
      <c r="R294" s="3">
        <v>5575</v>
      </c>
      <c r="S294" s="33">
        <v>0</v>
      </c>
      <c r="T294" s="33">
        <v>0</v>
      </c>
      <c r="U294" s="3">
        <v>0</v>
      </c>
      <c r="V294" s="33">
        <v>0</v>
      </c>
      <c r="W294" s="3">
        <v>16605</v>
      </c>
      <c r="X294" s="13">
        <f t="shared" si="27"/>
        <v>15223</v>
      </c>
      <c r="Y294" s="13">
        <f t="shared" si="28"/>
        <v>16605</v>
      </c>
      <c r="Z294" s="13">
        <f t="shared" si="29"/>
        <v>0</v>
      </c>
      <c r="AA294" s="13">
        <f t="shared" si="30"/>
        <v>319398</v>
      </c>
      <c r="AB294" s="13">
        <f t="shared" si="31"/>
        <v>214416</v>
      </c>
      <c r="AC294" s="13">
        <f t="shared" si="32"/>
        <v>66001</v>
      </c>
    </row>
    <row r="295" spans="1:29" x14ac:dyDescent="0.25">
      <c r="A295" s="6" t="s">
        <v>297</v>
      </c>
      <c r="B295" s="2">
        <v>33</v>
      </c>
      <c r="C295" s="2" t="s">
        <v>330</v>
      </c>
      <c r="D295" s="33">
        <v>0</v>
      </c>
      <c r="E295" s="33">
        <v>0</v>
      </c>
      <c r="F295" s="3">
        <v>5843</v>
      </c>
      <c r="G295" s="3">
        <v>1729</v>
      </c>
      <c r="H295" s="33">
        <v>0</v>
      </c>
      <c r="I295" s="33">
        <v>0</v>
      </c>
      <c r="J295" s="33">
        <v>0</v>
      </c>
      <c r="K295" s="33">
        <v>0</v>
      </c>
      <c r="L295" s="33">
        <v>0</v>
      </c>
      <c r="M295" s="33">
        <v>0</v>
      </c>
      <c r="N295" s="33">
        <v>0</v>
      </c>
      <c r="O295" s="3">
        <v>1795</v>
      </c>
      <c r="P295" s="33">
        <v>0</v>
      </c>
      <c r="Q295" s="3">
        <v>936</v>
      </c>
      <c r="R295" s="3">
        <v>4923</v>
      </c>
      <c r="S295" s="33">
        <v>0</v>
      </c>
      <c r="T295" s="33">
        <v>0</v>
      </c>
      <c r="U295" s="3">
        <v>0</v>
      </c>
      <c r="V295" s="33">
        <v>0</v>
      </c>
      <c r="W295" s="3">
        <v>15772</v>
      </c>
      <c r="X295" s="13">
        <f t="shared" si="27"/>
        <v>15226</v>
      </c>
      <c r="Y295" s="13">
        <f t="shared" si="28"/>
        <v>15772</v>
      </c>
      <c r="Z295" s="13">
        <f t="shared" si="29"/>
        <v>0</v>
      </c>
      <c r="AA295" s="13">
        <f t="shared" si="30"/>
        <v>334624</v>
      </c>
      <c r="AB295" s="13">
        <f t="shared" si="31"/>
        <v>230188</v>
      </c>
      <c r="AC295" s="13">
        <f t="shared" si="32"/>
        <v>66001</v>
      </c>
    </row>
    <row r="296" spans="1:29" x14ac:dyDescent="0.25">
      <c r="A296" s="6" t="s">
        <v>297</v>
      </c>
      <c r="B296" s="2">
        <v>34</v>
      </c>
      <c r="C296" s="2" t="s">
        <v>331</v>
      </c>
      <c r="D296" s="33">
        <v>0</v>
      </c>
      <c r="E296" s="33">
        <v>0</v>
      </c>
      <c r="F296" s="3">
        <v>5367</v>
      </c>
      <c r="G296" s="3">
        <v>1517</v>
      </c>
      <c r="H296" s="33">
        <v>0</v>
      </c>
      <c r="I296" s="33">
        <v>0</v>
      </c>
      <c r="J296" s="33">
        <v>0</v>
      </c>
      <c r="K296" s="33">
        <v>0</v>
      </c>
      <c r="L296" s="33">
        <v>0</v>
      </c>
      <c r="M296" s="33">
        <v>0</v>
      </c>
      <c r="N296" s="33">
        <v>0</v>
      </c>
      <c r="O296" s="3">
        <v>1133</v>
      </c>
      <c r="P296" s="33">
        <v>0</v>
      </c>
      <c r="Q296" s="3">
        <v>1020</v>
      </c>
      <c r="R296" s="3">
        <v>4149</v>
      </c>
      <c r="S296" s="33">
        <v>0</v>
      </c>
      <c r="T296" s="33">
        <v>0</v>
      </c>
      <c r="U296" s="3">
        <v>0</v>
      </c>
      <c r="V296" s="33">
        <v>0</v>
      </c>
      <c r="W296" s="3">
        <v>11544</v>
      </c>
      <c r="X296" s="13">
        <f t="shared" si="27"/>
        <v>13186</v>
      </c>
      <c r="Y296" s="13">
        <f t="shared" si="28"/>
        <v>11544</v>
      </c>
      <c r="Z296" s="13">
        <f t="shared" si="29"/>
        <v>0</v>
      </c>
      <c r="AA296" s="13">
        <f t="shared" si="30"/>
        <v>347810</v>
      </c>
      <c r="AB296" s="13">
        <f t="shared" si="31"/>
        <v>241732</v>
      </c>
      <c r="AC296" s="13">
        <f t="shared" si="32"/>
        <v>66001</v>
      </c>
    </row>
    <row r="297" spans="1:29" x14ac:dyDescent="0.25">
      <c r="A297" s="6" t="s">
        <v>297</v>
      </c>
      <c r="B297" s="2">
        <v>35</v>
      </c>
      <c r="C297" s="2" t="s">
        <v>332</v>
      </c>
      <c r="D297" s="33">
        <v>0</v>
      </c>
      <c r="E297" s="33">
        <v>0</v>
      </c>
      <c r="F297" s="3">
        <v>2768</v>
      </c>
      <c r="G297" s="3">
        <v>731</v>
      </c>
      <c r="H297" s="33">
        <v>0</v>
      </c>
      <c r="I297" s="33">
        <v>0</v>
      </c>
      <c r="J297" s="33">
        <v>0</v>
      </c>
      <c r="K297" s="33">
        <v>0</v>
      </c>
      <c r="L297" s="33">
        <v>0</v>
      </c>
      <c r="M297" s="33">
        <v>0</v>
      </c>
      <c r="N297" s="33">
        <v>0</v>
      </c>
      <c r="O297" s="3">
        <v>4976</v>
      </c>
      <c r="P297" s="33">
        <v>0</v>
      </c>
      <c r="Q297" s="3">
        <v>397</v>
      </c>
      <c r="R297" s="3">
        <v>333</v>
      </c>
      <c r="S297" s="33">
        <v>0</v>
      </c>
      <c r="T297" s="33">
        <v>0</v>
      </c>
      <c r="U297" s="3">
        <v>0</v>
      </c>
      <c r="V297" s="33">
        <v>0</v>
      </c>
      <c r="W297" s="3">
        <v>8698</v>
      </c>
      <c r="X297" s="13">
        <f t="shared" si="27"/>
        <v>9205</v>
      </c>
      <c r="Y297" s="13">
        <f t="shared" si="28"/>
        <v>8698</v>
      </c>
      <c r="Z297" s="13">
        <f t="shared" si="29"/>
        <v>0</v>
      </c>
      <c r="AA297" s="13">
        <f t="shared" si="30"/>
        <v>357015</v>
      </c>
      <c r="AB297" s="13">
        <f t="shared" si="31"/>
        <v>250430</v>
      </c>
      <c r="AC297" s="13">
        <f t="shared" si="32"/>
        <v>66001</v>
      </c>
    </row>
    <row r="298" spans="1:29" x14ac:dyDescent="0.25">
      <c r="A298" s="6" t="s">
        <v>297</v>
      </c>
      <c r="B298" s="2">
        <v>36</v>
      </c>
      <c r="C298" s="2" t="s">
        <v>333</v>
      </c>
      <c r="D298" s="33">
        <v>0</v>
      </c>
      <c r="E298" s="33">
        <v>0</v>
      </c>
      <c r="F298" s="3">
        <v>1905</v>
      </c>
      <c r="G298" s="3">
        <v>205</v>
      </c>
      <c r="H298" s="33">
        <v>0</v>
      </c>
      <c r="I298" s="33">
        <v>0</v>
      </c>
      <c r="J298" s="33">
        <v>0</v>
      </c>
      <c r="K298" s="33">
        <v>0</v>
      </c>
      <c r="L298" s="33">
        <v>0</v>
      </c>
      <c r="M298" s="33">
        <v>0</v>
      </c>
      <c r="N298" s="33">
        <v>0</v>
      </c>
      <c r="O298" s="3">
        <v>1024</v>
      </c>
      <c r="P298" s="33">
        <v>0</v>
      </c>
      <c r="Q298" s="3">
        <v>181</v>
      </c>
      <c r="R298" s="3">
        <v>504</v>
      </c>
      <c r="S298" s="33">
        <v>0</v>
      </c>
      <c r="T298" s="33">
        <v>0</v>
      </c>
      <c r="U298" s="3">
        <v>0</v>
      </c>
      <c r="V298" s="33">
        <v>0</v>
      </c>
      <c r="W298" s="3">
        <v>4517</v>
      </c>
      <c r="X298" s="13">
        <f t="shared" si="27"/>
        <v>3819</v>
      </c>
      <c r="Y298" s="13">
        <f t="shared" si="28"/>
        <v>4517</v>
      </c>
      <c r="Z298" s="13">
        <f t="shared" si="29"/>
        <v>0</v>
      </c>
      <c r="AA298" s="13">
        <f t="shared" si="30"/>
        <v>360834</v>
      </c>
      <c r="AB298" s="13">
        <f t="shared" si="31"/>
        <v>254947</v>
      </c>
      <c r="AC298" s="13">
        <f t="shared" si="32"/>
        <v>66001</v>
      </c>
    </row>
    <row r="299" spans="1:29" x14ac:dyDescent="0.25">
      <c r="A299" s="6" t="s">
        <v>297</v>
      </c>
      <c r="B299" s="2">
        <v>37</v>
      </c>
      <c r="C299" s="2" t="s">
        <v>334</v>
      </c>
      <c r="D299" s="33">
        <v>0</v>
      </c>
      <c r="E299" s="33">
        <v>0</v>
      </c>
      <c r="F299" s="3">
        <v>7346</v>
      </c>
      <c r="G299" s="3">
        <v>1720</v>
      </c>
      <c r="H299" s="33">
        <v>0</v>
      </c>
      <c r="I299" s="33">
        <v>0</v>
      </c>
      <c r="J299" s="33">
        <v>0</v>
      </c>
      <c r="K299" s="33">
        <v>0</v>
      </c>
      <c r="L299" s="33">
        <v>0</v>
      </c>
      <c r="M299" s="33">
        <v>0</v>
      </c>
      <c r="N299" s="33">
        <v>0</v>
      </c>
      <c r="O299" s="3">
        <v>1926</v>
      </c>
      <c r="P299" s="33">
        <v>0</v>
      </c>
      <c r="Q299" s="3">
        <v>1146</v>
      </c>
      <c r="R299" s="3">
        <v>4994</v>
      </c>
      <c r="S299" s="33">
        <v>0</v>
      </c>
      <c r="T299" s="33">
        <v>0</v>
      </c>
      <c r="U299" s="3">
        <v>0</v>
      </c>
      <c r="V299" s="33">
        <v>0</v>
      </c>
      <c r="W299" s="3">
        <v>11142</v>
      </c>
      <c r="X299" s="13">
        <f t="shared" si="27"/>
        <v>17132</v>
      </c>
      <c r="Y299" s="13">
        <f t="shared" si="28"/>
        <v>11142</v>
      </c>
      <c r="Z299" s="13">
        <f t="shared" si="29"/>
        <v>0</v>
      </c>
      <c r="AA299" s="13">
        <f t="shared" si="30"/>
        <v>377966</v>
      </c>
      <c r="AB299" s="13">
        <f t="shared" si="31"/>
        <v>266089</v>
      </c>
      <c r="AC299" s="13">
        <f t="shared" si="32"/>
        <v>66001</v>
      </c>
    </row>
    <row r="300" spans="1:29" x14ac:dyDescent="0.25">
      <c r="A300" s="6" t="s">
        <v>297</v>
      </c>
      <c r="B300" s="2">
        <v>38</v>
      </c>
      <c r="C300" s="2" t="s">
        <v>335</v>
      </c>
      <c r="D300" s="33">
        <v>0</v>
      </c>
      <c r="E300" s="33">
        <v>0</v>
      </c>
      <c r="F300" s="3">
        <v>6855</v>
      </c>
      <c r="G300" s="3">
        <v>1959</v>
      </c>
      <c r="H300" s="33">
        <v>0</v>
      </c>
      <c r="I300" s="33">
        <v>0</v>
      </c>
      <c r="J300" s="33">
        <v>0</v>
      </c>
      <c r="K300" s="33">
        <v>0</v>
      </c>
      <c r="L300" s="33">
        <v>0</v>
      </c>
      <c r="M300" s="33">
        <v>0</v>
      </c>
      <c r="N300" s="33">
        <v>0</v>
      </c>
      <c r="O300" s="3">
        <v>1311</v>
      </c>
      <c r="P300" s="33">
        <v>0</v>
      </c>
      <c r="Q300" s="3">
        <v>1479</v>
      </c>
      <c r="R300" s="3">
        <v>4422</v>
      </c>
      <c r="S300" s="33">
        <v>0</v>
      </c>
      <c r="T300" s="33">
        <v>0</v>
      </c>
      <c r="U300" s="3">
        <v>0</v>
      </c>
      <c r="V300" s="33">
        <v>0</v>
      </c>
      <c r="W300" s="3">
        <v>10593</v>
      </c>
      <c r="X300" s="13">
        <f t="shared" si="27"/>
        <v>16026</v>
      </c>
      <c r="Y300" s="13">
        <f t="shared" si="28"/>
        <v>10593</v>
      </c>
      <c r="Z300" s="13">
        <f t="shared" si="29"/>
        <v>0</v>
      </c>
      <c r="AA300" s="13">
        <f t="shared" si="30"/>
        <v>393992</v>
      </c>
      <c r="AB300" s="13">
        <f t="shared" si="31"/>
        <v>276682</v>
      </c>
      <c r="AC300" s="13">
        <f t="shared" si="32"/>
        <v>66001</v>
      </c>
    </row>
    <row r="301" spans="1:29" x14ac:dyDescent="0.25">
      <c r="A301" s="6" t="s">
        <v>297</v>
      </c>
      <c r="B301" s="2">
        <v>39</v>
      </c>
      <c r="C301" s="2" t="s">
        <v>336</v>
      </c>
      <c r="D301" s="33">
        <v>0</v>
      </c>
      <c r="E301" s="33">
        <v>0</v>
      </c>
      <c r="F301" s="3">
        <v>4848</v>
      </c>
      <c r="G301" s="3">
        <v>979</v>
      </c>
      <c r="H301" s="33">
        <v>0</v>
      </c>
      <c r="I301" s="33">
        <v>0</v>
      </c>
      <c r="J301" s="33">
        <v>0</v>
      </c>
      <c r="K301" s="33">
        <v>0</v>
      </c>
      <c r="L301" s="33">
        <v>0</v>
      </c>
      <c r="M301" s="33">
        <v>0</v>
      </c>
      <c r="N301" s="33">
        <v>0</v>
      </c>
      <c r="O301" s="3">
        <v>1219</v>
      </c>
      <c r="P301" s="33">
        <v>0</v>
      </c>
      <c r="Q301" s="3">
        <v>1257</v>
      </c>
      <c r="R301" s="3">
        <v>3618</v>
      </c>
      <c r="S301" s="33">
        <v>0</v>
      </c>
      <c r="T301" s="33">
        <v>0</v>
      </c>
      <c r="U301" s="3">
        <v>0</v>
      </c>
      <c r="V301" s="33">
        <v>0</v>
      </c>
      <c r="W301" s="3">
        <v>14635</v>
      </c>
      <c r="X301" s="13">
        <f t="shared" si="27"/>
        <v>11921</v>
      </c>
      <c r="Y301" s="13">
        <f t="shared" si="28"/>
        <v>14635</v>
      </c>
      <c r="Z301" s="13">
        <f t="shared" si="29"/>
        <v>0</v>
      </c>
      <c r="AA301" s="13">
        <f t="shared" si="30"/>
        <v>405913</v>
      </c>
      <c r="AB301" s="13">
        <f t="shared" si="31"/>
        <v>291317</v>
      </c>
      <c r="AC301" s="13">
        <f t="shared" si="32"/>
        <v>66001</v>
      </c>
    </row>
    <row r="302" spans="1:29" x14ac:dyDescent="0.25">
      <c r="A302" s="6" t="s">
        <v>297</v>
      </c>
      <c r="B302" s="2">
        <v>40</v>
      </c>
      <c r="C302" s="2" t="s">
        <v>337</v>
      </c>
      <c r="D302" s="33">
        <v>0</v>
      </c>
      <c r="E302" s="33">
        <v>0</v>
      </c>
      <c r="F302" s="3">
        <v>6984</v>
      </c>
      <c r="G302" s="3">
        <v>1968</v>
      </c>
      <c r="H302" s="33">
        <v>0</v>
      </c>
      <c r="I302" s="33">
        <v>0</v>
      </c>
      <c r="J302" s="33">
        <v>0</v>
      </c>
      <c r="K302" s="33">
        <v>0</v>
      </c>
      <c r="L302" s="33">
        <v>0</v>
      </c>
      <c r="M302" s="33">
        <v>0</v>
      </c>
      <c r="N302" s="33">
        <v>0</v>
      </c>
      <c r="O302" s="3">
        <v>4566</v>
      </c>
      <c r="P302" s="33">
        <v>0</v>
      </c>
      <c r="Q302" s="3">
        <v>10911</v>
      </c>
      <c r="R302" s="3">
        <v>3424</v>
      </c>
      <c r="S302" s="33">
        <v>0</v>
      </c>
      <c r="T302" s="33">
        <v>0</v>
      </c>
      <c r="U302" s="3">
        <v>0</v>
      </c>
      <c r="V302" s="33">
        <v>0</v>
      </c>
      <c r="W302" s="3">
        <v>14466</v>
      </c>
      <c r="X302" s="13">
        <f t="shared" si="27"/>
        <v>27853</v>
      </c>
      <c r="Y302" s="13">
        <f t="shared" si="28"/>
        <v>14466</v>
      </c>
      <c r="Z302" s="13">
        <f t="shared" si="29"/>
        <v>0</v>
      </c>
      <c r="AA302" s="13">
        <f t="shared" si="30"/>
        <v>433766</v>
      </c>
      <c r="AB302" s="13">
        <f t="shared" si="31"/>
        <v>305783</v>
      </c>
      <c r="AC302" s="13">
        <f t="shared" si="32"/>
        <v>66001</v>
      </c>
    </row>
    <row r="303" spans="1:29" x14ac:dyDescent="0.25">
      <c r="A303" s="6" t="s">
        <v>297</v>
      </c>
      <c r="B303" s="2">
        <v>41</v>
      </c>
      <c r="C303" s="2" t="s">
        <v>338</v>
      </c>
      <c r="D303" s="33">
        <v>0</v>
      </c>
      <c r="E303" s="33">
        <v>0</v>
      </c>
      <c r="F303" s="3">
        <v>6494</v>
      </c>
      <c r="G303" s="3">
        <v>3038</v>
      </c>
      <c r="H303" s="33">
        <v>0</v>
      </c>
      <c r="I303" s="33">
        <v>0</v>
      </c>
      <c r="J303" s="33">
        <v>0</v>
      </c>
      <c r="K303" s="33">
        <v>0</v>
      </c>
      <c r="L303" s="33">
        <v>0</v>
      </c>
      <c r="M303" s="33">
        <v>0</v>
      </c>
      <c r="N303" s="33">
        <v>0</v>
      </c>
      <c r="O303" s="3">
        <v>1323</v>
      </c>
      <c r="P303" s="33">
        <v>0</v>
      </c>
      <c r="Q303" s="3">
        <v>2443</v>
      </c>
      <c r="R303" s="3">
        <v>2481</v>
      </c>
      <c r="S303" s="33">
        <v>0</v>
      </c>
      <c r="T303" s="33">
        <v>0</v>
      </c>
      <c r="U303" s="3">
        <v>0</v>
      </c>
      <c r="V303" s="33">
        <v>0</v>
      </c>
      <c r="W303" s="3">
        <v>9871</v>
      </c>
      <c r="X303" s="13">
        <f t="shared" si="27"/>
        <v>15779</v>
      </c>
      <c r="Y303" s="13">
        <f t="shared" si="28"/>
        <v>9871</v>
      </c>
      <c r="Z303" s="13">
        <f t="shared" si="29"/>
        <v>0</v>
      </c>
      <c r="AA303" s="13">
        <f t="shared" si="30"/>
        <v>449545</v>
      </c>
      <c r="AB303" s="13">
        <f t="shared" si="31"/>
        <v>315654</v>
      </c>
      <c r="AC303" s="13">
        <f t="shared" si="32"/>
        <v>66001</v>
      </c>
    </row>
    <row r="304" spans="1:29" x14ac:dyDescent="0.25">
      <c r="A304" s="6" t="s">
        <v>297</v>
      </c>
      <c r="B304" s="2">
        <v>42</v>
      </c>
      <c r="C304" s="2" t="s">
        <v>339</v>
      </c>
      <c r="D304" s="33">
        <v>0</v>
      </c>
      <c r="E304" s="33">
        <v>0</v>
      </c>
      <c r="F304" s="3">
        <v>6793</v>
      </c>
      <c r="G304" s="3">
        <v>2004</v>
      </c>
      <c r="H304" s="33">
        <v>0</v>
      </c>
      <c r="I304" s="33">
        <v>0</v>
      </c>
      <c r="J304" s="33">
        <v>0</v>
      </c>
      <c r="K304" s="33">
        <v>0</v>
      </c>
      <c r="L304" s="33">
        <v>0</v>
      </c>
      <c r="M304" s="33">
        <v>0</v>
      </c>
      <c r="N304" s="33">
        <v>0</v>
      </c>
      <c r="O304" s="3">
        <v>1396</v>
      </c>
      <c r="P304" s="33">
        <v>0</v>
      </c>
      <c r="Q304" s="3">
        <v>970</v>
      </c>
      <c r="R304" s="3">
        <v>3698</v>
      </c>
      <c r="S304" s="33">
        <v>0</v>
      </c>
      <c r="T304" s="33">
        <v>0</v>
      </c>
      <c r="U304" s="3">
        <v>0</v>
      </c>
      <c r="V304" s="33">
        <v>0</v>
      </c>
      <c r="W304" s="3">
        <v>15251</v>
      </c>
      <c r="X304" s="13">
        <f t="shared" si="27"/>
        <v>14861</v>
      </c>
      <c r="Y304" s="13">
        <f t="shared" si="28"/>
        <v>15251</v>
      </c>
      <c r="Z304" s="13">
        <f t="shared" si="29"/>
        <v>0</v>
      </c>
      <c r="AA304" s="13">
        <f t="shared" si="30"/>
        <v>464406</v>
      </c>
      <c r="AB304" s="13">
        <f t="shared" si="31"/>
        <v>330905</v>
      </c>
      <c r="AC304" s="13">
        <f t="shared" si="32"/>
        <v>66001</v>
      </c>
    </row>
    <row r="305" spans="1:29" x14ac:dyDescent="0.25">
      <c r="A305" s="6" t="s">
        <v>297</v>
      </c>
      <c r="B305" s="2">
        <v>43</v>
      </c>
      <c r="C305" s="2" t="s">
        <v>340</v>
      </c>
      <c r="D305" s="33">
        <v>0</v>
      </c>
      <c r="E305" s="33">
        <v>0</v>
      </c>
      <c r="F305" s="3">
        <v>8538</v>
      </c>
      <c r="G305" s="3">
        <v>479</v>
      </c>
      <c r="H305" s="33">
        <v>0</v>
      </c>
      <c r="I305" s="33">
        <v>0</v>
      </c>
      <c r="J305" s="33">
        <v>0</v>
      </c>
      <c r="K305" s="33">
        <v>0</v>
      </c>
      <c r="L305" s="33">
        <v>0</v>
      </c>
      <c r="M305" s="33">
        <v>0</v>
      </c>
      <c r="N305" s="33">
        <v>0</v>
      </c>
      <c r="O305" s="3">
        <v>1826</v>
      </c>
      <c r="P305" s="33">
        <v>0</v>
      </c>
      <c r="Q305" s="3">
        <v>465</v>
      </c>
      <c r="R305" s="3">
        <v>4047</v>
      </c>
      <c r="S305" s="33">
        <v>0</v>
      </c>
      <c r="T305" s="33">
        <v>0</v>
      </c>
      <c r="U305" s="3">
        <v>0</v>
      </c>
      <c r="V305" s="33">
        <v>0</v>
      </c>
      <c r="W305" s="3">
        <v>11909</v>
      </c>
      <c r="X305" s="13">
        <f t="shared" si="27"/>
        <v>15355</v>
      </c>
      <c r="Y305" s="13">
        <f t="shared" si="28"/>
        <v>11909</v>
      </c>
      <c r="Z305" s="13">
        <f t="shared" si="29"/>
        <v>0</v>
      </c>
      <c r="AA305" s="13">
        <f t="shared" si="30"/>
        <v>479761</v>
      </c>
      <c r="AB305" s="13">
        <f t="shared" si="31"/>
        <v>342814</v>
      </c>
      <c r="AC305" s="13">
        <f t="shared" si="32"/>
        <v>66001</v>
      </c>
    </row>
    <row r="306" spans="1:29" x14ac:dyDescent="0.25">
      <c r="A306" s="6" t="s">
        <v>297</v>
      </c>
      <c r="B306" s="2">
        <v>44</v>
      </c>
      <c r="C306" s="2" t="s">
        <v>341</v>
      </c>
      <c r="D306" s="33">
        <v>0</v>
      </c>
      <c r="E306" s="33">
        <v>0</v>
      </c>
      <c r="F306" s="3">
        <v>5469</v>
      </c>
      <c r="G306" s="3">
        <v>229</v>
      </c>
      <c r="H306" s="33">
        <v>0</v>
      </c>
      <c r="I306" s="33">
        <v>0</v>
      </c>
      <c r="J306" s="33">
        <v>0</v>
      </c>
      <c r="K306" s="33">
        <v>0</v>
      </c>
      <c r="L306" s="33">
        <v>0</v>
      </c>
      <c r="M306" s="33">
        <v>0</v>
      </c>
      <c r="N306" s="33">
        <v>0</v>
      </c>
      <c r="O306" s="3">
        <v>3434</v>
      </c>
      <c r="P306" s="33">
        <v>0</v>
      </c>
      <c r="Q306" s="3">
        <v>1511</v>
      </c>
      <c r="R306" s="3">
        <v>4561</v>
      </c>
      <c r="S306" s="33">
        <v>0</v>
      </c>
      <c r="T306" s="33">
        <v>0</v>
      </c>
      <c r="U306" s="3">
        <v>0</v>
      </c>
      <c r="V306" s="33">
        <v>0</v>
      </c>
      <c r="W306" s="3">
        <v>16140</v>
      </c>
      <c r="X306" s="13">
        <f t="shared" si="27"/>
        <v>15204</v>
      </c>
      <c r="Y306" s="13">
        <f t="shared" si="28"/>
        <v>16140</v>
      </c>
      <c r="Z306" s="13">
        <f t="shared" si="29"/>
        <v>0</v>
      </c>
      <c r="AA306" s="13">
        <f t="shared" si="30"/>
        <v>494965</v>
      </c>
      <c r="AB306" s="13">
        <f t="shared" si="31"/>
        <v>358954</v>
      </c>
      <c r="AC306" s="13">
        <f t="shared" si="32"/>
        <v>66001</v>
      </c>
    </row>
    <row r="307" spans="1:29" x14ac:dyDescent="0.25">
      <c r="A307" s="6" t="s">
        <v>297</v>
      </c>
      <c r="B307" s="2">
        <v>45</v>
      </c>
      <c r="C307" s="2" t="s">
        <v>342</v>
      </c>
      <c r="D307" s="33">
        <v>0</v>
      </c>
      <c r="E307" s="33">
        <v>0</v>
      </c>
      <c r="F307" s="3">
        <v>4392</v>
      </c>
      <c r="G307" s="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">
        <v>960</v>
      </c>
      <c r="P307" s="33">
        <v>0</v>
      </c>
      <c r="Q307" s="3">
        <v>1807</v>
      </c>
      <c r="R307" s="3">
        <v>3980</v>
      </c>
      <c r="S307" s="33">
        <v>0</v>
      </c>
      <c r="T307" s="33">
        <v>0</v>
      </c>
      <c r="U307" s="3">
        <v>0</v>
      </c>
      <c r="V307" s="33">
        <v>0</v>
      </c>
      <c r="W307" s="3">
        <v>12220</v>
      </c>
      <c r="X307" s="13">
        <f t="shared" si="27"/>
        <v>11139</v>
      </c>
      <c r="Y307" s="13">
        <f t="shared" si="28"/>
        <v>12220</v>
      </c>
      <c r="Z307" s="13">
        <f t="shared" si="29"/>
        <v>0</v>
      </c>
      <c r="AA307" s="13">
        <f t="shared" si="30"/>
        <v>506104</v>
      </c>
      <c r="AB307" s="13">
        <f t="shared" si="31"/>
        <v>371174</v>
      </c>
      <c r="AC307" s="13">
        <f t="shared" si="32"/>
        <v>66001</v>
      </c>
    </row>
    <row r="308" spans="1:29" x14ac:dyDescent="0.25">
      <c r="A308" s="6" t="s">
        <v>297</v>
      </c>
      <c r="B308" s="2">
        <v>46</v>
      </c>
      <c r="C308" s="2" t="s">
        <v>343</v>
      </c>
      <c r="D308" s="33">
        <v>0</v>
      </c>
      <c r="E308" s="33">
        <v>0</v>
      </c>
      <c r="F308" s="3">
        <v>5913</v>
      </c>
      <c r="G308" s="3">
        <v>0</v>
      </c>
      <c r="H308" s="33">
        <v>0</v>
      </c>
      <c r="I308" s="33">
        <v>0</v>
      </c>
      <c r="J308" s="33">
        <v>0</v>
      </c>
      <c r="K308" s="33">
        <v>0</v>
      </c>
      <c r="L308" s="33">
        <v>0</v>
      </c>
      <c r="M308" s="33">
        <v>0</v>
      </c>
      <c r="N308" s="33">
        <v>0</v>
      </c>
      <c r="O308" s="3">
        <v>1678</v>
      </c>
      <c r="P308" s="33">
        <v>0</v>
      </c>
      <c r="Q308" s="3">
        <v>578</v>
      </c>
      <c r="R308" s="3">
        <v>5902</v>
      </c>
      <c r="S308" s="33">
        <v>0</v>
      </c>
      <c r="T308" s="33">
        <v>0</v>
      </c>
      <c r="U308" s="3">
        <v>0</v>
      </c>
      <c r="V308" s="33">
        <v>0</v>
      </c>
      <c r="W308" s="3">
        <v>13200</v>
      </c>
      <c r="X308" s="13">
        <f t="shared" si="27"/>
        <v>14071</v>
      </c>
      <c r="Y308" s="13">
        <f t="shared" si="28"/>
        <v>13200</v>
      </c>
      <c r="Z308" s="13">
        <f t="shared" si="29"/>
        <v>0</v>
      </c>
      <c r="AA308" s="13">
        <f t="shared" si="30"/>
        <v>520175</v>
      </c>
      <c r="AB308" s="13">
        <f t="shared" si="31"/>
        <v>384374</v>
      </c>
      <c r="AC308" s="13">
        <f t="shared" si="32"/>
        <v>66001</v>
      </c>
    </row>
    <row r="309" spans="1:29" x14ac:dyDescent="0.25">
      <c r="A309" s="6" t="s">
        <v>297</v>
      </c>
      <c r="B309" s="2">
        <v>47</v>
      </c>
      <c r="C309" s="2" t="s">
        <v>344</v>
      </c>
      <c r="D309" s="33">
        <v>0</v>
      </c>
      <c r="E309" s="33">
        <v>0</v>
      </c>
      <c r="F309" s="3">
        <v>5130</v>
      </c>
      <c r="G309" s="3">
        <v>72</v>
      </c>
      <c r="H309" s="33">
        <v>0</v>
      </c>
      <c r="I309" s="33">
        <v>0</v>
      </c>
      <c r="J309" s="33">
        <v>0</v>
      </c>
      <c r="K309" s="33">
        <v>0</v>
      </c>
      <c r="L309" s="33">
        <v>0</v>
      </c>
      <c r="M309" s="33">
        <v>0</v>
      </c>
      <c r="N309" s="33">
        <v>0</v>
      </c>
      <c r="O309" s="3">
        <v>2706</v>
      </c>
      <c r="P309" s="33">
        <v>0</v>
      </c>
      <c r="Q309" s="3">
        <v>964</v>
      </c>
      <c r="R309" s="3">
        <v>6066</v>
      </c>
      <c r="S309" s="33">
        <v>0</v>
      </c>
      <c r="T309" s="33">
        <v>0</v>
      </c>
      <c r="U309" s="3">
        <v>0</v>
      </c>
      <c r="V309" s="33">
        <v>0</v>
      </c>
      <c r="W309" s="3">
        <v>13127</v>
      </c>
      <c r="X309" s="13">
        <f t="shared" si="27"/>
        <v>14938</v>
      </c>
      <c r="Y309" s="13">
        <f t="shared" si="28"/>
        <v>13127</v>
      </c>
      <c r="Z309" s="13">
        <f t="shared" si="29"/>
        <v>0</v>
      </c>
      <c r="AA309" s="13">
        <f t="shared" si="30"/>
        <v>535113</v>
      </c>
      <c r="AB309" s="13">
        <f t="shared" si="31"/>
        <v>397501</v>
      </c>
      <c r="AC309" s="13">
        <f t="shared" si="32"/>
        <v>66001</v>
      </c>
    </row>
    <row r="310" spans="1:29" x14ac:dyDescent="0.25">
      <c r="A310" s="6" t="s">
        <v>297</v>
      </c>
      <c r="B310" s="2">
        <v>48</v>
      </c>
      <c r="C310" s="2" t="s">
        <v>345</v>
      </c>
      <c r="D310" s="33">
        <v>0</v>
      </c>
      <c r="E310" s="33">
        <v>0</v>
      </c>
      <c r="F310" s="3">
        <v>5940</v>
      </c>
      <c r="G310" s="3">
        <v>748</v>
      </c>
      <c r="H310" s="33">
        <v>0</v>
      </c>
      <c r="I310" s="33">
        <v>0</v>
      </c>
      <c r="J310" s="33">
        <v>0</v>
      </c>
      <c r="K310" s="33">
        <v>0</v>
      </c>
      <c r="L310" s="33">
        <v>0</v>
      </c>
      <c r="M310" s="33">
        <v>0</v>
      </c>
      <c r="N310" s="33">
        <v>0</v>
      </c>
      <c r="O310" s="3">
        <v>5357</v>
      </c>
      <c r="P310" s="33">
        <v>0</v>
      </c>
      <c r="Q310" s="3">
        <v>3023</v>
      </c>
      <c r="R310" s="3">
        <v>6144</v>
      </c>
      <c r="S310" s="33">
        <v>0</v>
      </c>
      <c r="T310" s="33">
        <v>0</v>
      </c>
      <c r="U310" s="3">
        <v>0</v>
      </c>
      <c r="V310" s="33">
        <v>0</v>
      </c>
      <c r="W310" s="3">
        <v>19453</v>
      </c>
      <c r="X310" s="13">
        <f t="shared" si="27"/>
        <v>21212</v>
      </c>
      <c r="Y310" s="13">
        <f t="shared" si="28"/>
        <v>19453</v>
      </c>
      <c r="Z310" s="13">
        <f t="shared" si="29"/>
        <v>0</v>
      </c>
      <c r="AA310" s="13">
        <f t="shared" si="30"/>
        <v>556325</v>
      </c>
      <c r="AB310" s="13">
        <f t="shared" si="31"/>
        <v>416954</v>
      </c>
      <c r="AC310" s="13">
        <f t="shared" si="32"/>
        <v>66001</v>
      </c>
    </row>
    <row r="311" spans="1:29" x14ac:dyDescent="0.25">
      <c r="A311" s="6" t="s">
        <v>297</v>
      </c>
      <c r="B311" s="2">
        <v>49</v>
      </c>
      <c r="C311" s="2" t="s">
        <v>346</v>
      </c>
      <c r="D311" s="33">
        <v>0</v>
      </c>
      <c r="E311" s="33">
        <v>0</v>
      </c>
      <c r="F311" s="3">
        <v>3874</v>
      </c>
      <c r="G311" s="3">
        <v>713</v>
      </c>
      <c r="H311" s="33">
        <v>0</v>
      </c>
      <c r="I311" s="33">
        <v>0</v>
      </c>
      <c r="J311" s="33">
        <v>0</v>
      </c>
      <c r="K311" s="33">
        <v>0</v>
      </c>
      <c r="L311" s="33">
        <v>0</v>
      </c>
      <c r="M311" s="33">
        <v>0</v>
      </c>
      <c r="N311" s="33">
        <v>0</v>
      </c>
      <c r="O311" s="3">
        <v>2066</v>
      </c>
      <c r="P311" s="33">
        <v>0</v>
      </c>
      <c r="Q311" s="3">
        <v>1324</v>
      </c>
      <c r="R311" s="3">
        <v>3940</v>
      </c>
      <c r="S311" s="33">
        <v>0</v>
      </c>
      <c r="T311" s="33">
        <v>0</v>
      </c>
      <c r="U311" s="3">
        <v>0</v>
      </c>
      <c r="V311" s="33">
        <v>0</v>
      </c>
      <c r="W311" s="3">
        <v>12616</v>
      </c>
      <c r="X311" s="13">
        <f t="shared" si="27"/>
        <v>11917</v>
      </c>
      <c r="Y311" s="13">
        <f t="shared" si="28"/>
        <v>12616</v>
      </c>
      <c r="Z311" s="13">
        <f t="shared" si="29"/>
        <v>0</v>
      </c>
      <c r="AA311" s="13">
        <f t="shared" si="30"/>
        <v>568242</v>
      </c>
      <c r="AB311" s="13">
        <f t="shared" si="31"/>
        <v>429570</v>
      </c>
      <c r="AC311" s="13">
        <f t="shared" si="32"/>
        <v>66001</v>
      </c>
    </row>
    <row r="312" spans="1:29" x14ac:dyDescent="0.25">
      <c r="A312" s="6" t="s">
        <v>297</v>
      </c>
      <c r="B312" s="2">
        <v>50</v>
      </c>
      <c r="C312" s="2" t="s">
        <v>347</v>
      </c>
      <c r="D312" s="33">
        <v>0</v>
      </c>
      <c r="E312" s="33">
        <v>0</v>
      </c>
      <c r="F312" s="3">
        <v>3968</v>
      </c>
      <c r="G312" s="3">
        <v>2385</v>
      </c>
      <c r="H312" s="33">
        <v>0</v>
      </c>
      <c r="I312" s="33">
        <v>0</v>
      </c>
      <c r="J312" s="33">
        <v>0</v>
      </c>
      <c r="K312" s="33">
        <v>0</v>
      </c>
      <c r="L312" s="33">
        <v>0</v>
      </c>
      <c r="M312" s="33">
        <v>0</v>
      </c>
      <c r="N312" s="33">
        <v>0</v>
      </c>
      <c r="O312" s="3">
        <v>2151</v>
      </c>
      <c r="P312" s="33">
        <v>0</v>
      </c>
      <c r="Q312" s="3">
        <v>758</v>
      </c>
      <c r="R312" s="3">
        <v>3422</v>
      </c>
      <c r="S312" s="33">
        <v>0</v>
      </c>
      <c r="T312" s="33">
        <v>0</v>
      </c>
      <c r="U312" s="3">
        <v>0</v>
      </c>
      <c r="V312" s="33">
        <v>0</v>
      </c>
      <c r="W312" s="3">
        <v>12578</v>
      </c>
      <c r="X312" s="13">
        <f t="shared" si="27"/>
        <v>12684</v>
      </c>
      <c r="Y312" s="13">
        <f t="shared" si="28"/>
        <v>12578</v>
      </c>
      <c r="Z312" s="13">
        <f t="shared" si="29"/>
        <v>0</v>
      </c>
      <c r="AA312" s="13">
        <f t="shared" si="30"/>
        <v>580926</v>
      </c>
      <c r="AB312" s="13">
        <f t="shared" si="31"/>
        <v>442148</v>
      </c>
      <c r="AC312" s="13">
        <f t="shared" si="32"/>
        <v>66001</v>
      </c>
    </row>
    <row r="313" spans="1:29" x14ac:dyDescent="0.25">
      <c r="A313" s="6" t="s">
        <v>297</v>
      </c>
      <c r="B313" s="2">
        <v>51</v>
      </c>
      <c r="C313" s="2" t="s">
        <v>352</v>
      </c>
      <c r="D313" s="33">
        <v>0</v>
      </c>
      <c r="E313" s="33">
        <v>0</v>
      </c>
      <c r="F313" s="3">
        <v>5611</v>
      </c>
      <c r="G313" s="3">
        <v>1428</v>
      </c>
      <c r="H313" s="33">
        <v>0</v>
      </c>
      <c r="I313" s="33">
        <v>0</v>
      </c>
      <c r="J313" s="33">
        <v>0</v>
      </c>
      <c r="K313" s="33">
        <v>0</v>
      </c>
      <c r="L313" s="33">
        <v>0</v>
      </c>
      <c r="M313" s="33">
        <v>0</v>
      </c>
      <c r="N313" s="33">
        <v>0</v>
      </c>
      <c r="O313" s="3">
        <v>3111</v>
      </c>
      <c r="P313" s="33">
        <v>0</v>
      </c>
      <c r="Q313" s="3">
        <v>790</v>
      </c>
      <c r="R313" s="3">
        <v>5271</v>
      </c>
      <c r="S313" s="33">
        <v>0</v>
      </c>
      <c r="T313" s="33">
        <v>0</v>
      </c>
      <c r="U313" s="3">
        <v>0</v>
      </c>
      <c r="V313" s="33">
        <v>0</v>
      </c>
      <c r="W313" s="3">
        <v>16392</v>
      </c>
      <c r="X313" s="13">
        <f t="shared" si="27"/>
        <v>16211</v>
      </c>
      <c r="Y313" s="13">
        <f t="shared" si="28"/>
        <v>16392</v>
      </c>
      <c r="Z313" s="13">
        <f t="shared" si="29"/>
        <v>0</v>
      </c>
      <c r="AA313" s="13">
        <f t="shared" si="30"/>
        <v>597137</v>
      </c>
      <c r="AB313" s="13">
        <f t="shared" si="31"/>
        <v>458540</v>
      </c>
      <c r="AC313" s="13">
        <f t="shared" si="32"/>
        <v>66001</v>
      </c>
    </row>
    <row r="314" spans="1:29" x14ac:dyDescent="0.25">
      <c r="A314" s="6" t="s">
        <v>297</v>
      </c>
      <c r="B314" s="2">
        <v>52</v>
      </c>
      <c r="C314" s="2" t="s">
        <v>363</v>
      </c>
      <c r="D314" s="33">
        <v>0</v>
      </c>
      <c r="E314" s="33">
        <v>0</v>
      </c>
      <c r="F314" s="3">
        <v>11682</v>
      </c>
      <c r="G314" s="3">
        <v>1904</v>
      </c>
      <c r="H314" s="33">
        <v>0</v>
      </c>
      <c r="I314" s="33">
        <v>0</v>
      </c>
      <c r="J314" s="33">
        <v>0</v>
      </c>
      <c r="K314" s="33">
        <v>0</v>
      </c>
      <c r="L314" s="33">
        <v>0</v>
      </c>
      <c r="M314" s="33">
        <v>0</v>
      </c>
      <c r="N314" s="33">
        <v>0</v>
      </c>
      <c r="O314" s="3">
        <v>5352</v>
      </c>
      <c r="P314" s="33">
        <v>0</v>
      </c>
      <c r="Q314" s="3">
        <v>474</v>
      </c>
      <c r="R314" s="3">
        <v>8881</v>
      </c>
      <c r="S314" s="33">
        <v>0</v>
      </c>
      <c r="T314" s="33">
        <v>0</v>
      </c>
      <c r="U314" s="3">
        <v>0</v>
      </c>
      <c r="V314" s="33">
        <v>0</v>
      </c>
      <c r="W314" s="3">
        <v>27775</v>
      </c>
      <c r="X314" s="13">
        <f t="shared" si="27"/>
        <v>28293</v>
      </c>
      <c r="Y314" s="13">
        <f t="shared" si="28"/>
        <v>27775</v>
      </c>
      <c r="Z314" s="13">
        <f t="shared" si="29"/>
        <v>0</v>
      </c>
      <c r="AA314" s="13">
        <f t="shared" ref="AA314" si="33">AA313+X314</f>
        <v>625430</v>
      </c>
      <c r="AB314" s="13">
        <f t="shared" ref="AB314" si="34">AB313+Y314</f>
        <v>486315</v>
      </c>
      <c r="AC314" s="13">
        <f t="shared" ref="AC314" si="35">AC313+Z314</f>
        <v>66001</v>
      </c>
    </row>
    <row r="315" spans="1:29" x14ac:dyDescent="0.25">
      <c r="A315" s="44" t="s">
        <v>362</v>
      </c>
      <c r="B315" s="45">
        <v>1</v>
      </c>
      <c r="C315" s="38" t="s">
        <v>364</v>
      </c>
      <c r="D315" s="46">
        <v>0</v>
      </c>
      <c r="E315" s="46">
        <v>0</v>
      </c>
      <c r="F315" s="47">
        <v>273</v>
      </c>
      <c r="G315" s="47">
        <v>947</v>
      </c>
      <c r="H315" s="46">
        <v>0</v>
      </c>
      <c r="I315" s="46">
        <v>0</v>
      </c>
      <c r="J315" s="46">
        <v>0</v>
      </c>
      <c r="K315" s="46">
        <v>0</v>
      </c>
      <c r="L315" s="46">
        <v>0</v>
      </c>
      <c r="M315" s="46">
        <v>0</v>
      </c>
      <c r="N315" s="46">
        <v>0</v>
      </c>
      <c r="O315" s="47">
        <v>502</v>
      </c>
      <c r="P315" s="46">
        <v>0</v>
      </c>
      <c r="Q315" s="47">
        <v>38</v>
      </c>
      <c r="R315" s="47">
        <v>331</v>
      </c>
      <c r="S315" s="46">
        <v>0</v>
      </c>
      <c r="T315" s="46">
        <v>0</v>
      </c>
      <c r="U315" s="47">
        <v>0</v>
      </c>
      <c r="V315" s="46">
        <v>0</v>
      </c>
      <c r="W315" s="47">
        <v>384</v>
      </c>
      <c r="X315" s="42">
        <f t="shared" si="27"/>
        <v>2091</v>
      </c>
      <c r="Y315" s="42">
        <f t="shared" si="28"/>
        <v>384</v>
      </c>
      <c r="Z315" s="42">
        <f t="shared" si="29"/>
        <v>0</v>
      </c>
      <c r="AA315" s="42">
        <f>X315</f>
        <v>2091</v>
      </c>
      <c r="AB315" s="42">
        <f>Y315</f>
        <v>384</v>
      </c>
      <c r="AC315" s="42">
        <f>Z315</f>
        <v>0</v>
      </c>
    </row>
    <row r="316" spans="1:29" x14ac:dyDescent="0.25">
      <c r="A316" s="6" t="s">
        <v>362</v>
      </c>
      <c r="B316" s="7">
        <v>2</v>
      </c>
      <c r="C316" s="2" t="s">
        <v>365</v>
      </c>
      <c r="D316" s="9">
        <v>0</v>
      </c>
      <c r="E316" s="9">
        <v>0</v>
      </c>
      <c r="F316" s="9">
        <v>7181</v>
      </c>
      <c r="G316" s="9">
        <v>602</v>
      </c>
      <c r="H316" s="9">
        <v>0</v>
      </c>
      <c r="I316" s="9">
        <v>0</v>
      </c>
      <c r="J316" s="9">
        <v>0</v>
      </c>
      <c r="K316" s="9">
        <v>0</v>
      </c>
      <c r="L316" s="9">
        <v>0</v>
      </c>
      <c r="M316" s="9">
        <v>0</v>
      </c>
      <c r="N316" s="9">
        <v>0</v>
      </c>
      <c r="O316" s="9">
        <v>1853</v>
      </c>
      <c r="P316" s="9">
        <v>0</v>
      </c>
      <c r="Q316" s="9">
        <v>107</v>
      </c>
      <c r="R316" s="9">
        <v>0</v>
      </c>
      <c r="S316" s="9">
        <v>0</v>
      </c>
      <c r="T316" s="9">
        <v>0</v>
      </c>
      <c r="U316" s="9">
        <v>0</v>
      </c>
      <c r="V316" s="9">
        <v>0</v>
      </c>
      <c r="W316" s="9">
        <v>12002</v>
      </c>
      <c r="X316" s="13">
        <f t="shared" si="27"/>
        <v>9743</v>
      </c>
      <c r="Y316" s="13">
        <f t="shared" si="28"/>
        <v>12002</v>
      </c>
      <c r="Z316" s="13">
        <f t="shared" si="29"/>
        <v>0</v>
      </c>
      <c r="AA316" s="13">
        <f t="shared" ref="AA316:AC318" si="36">AA315+X316</f>
        <v>11834</v>
      </c>
      <c r="AB316" s="13">
        <f t="shared" si="36"/>
        <v>12386</v>
      </c>
      <c r="AC316" s="13">
        <f t="shared" si="36"/>
        <v>0</v>
      </c>
    </row>
    <row r="317" spans="1:29" x14ac:dyDescent="0.25">
      <c r="A317" s="6" t="s">
        <v>362</v>
      </c>
      <c r="B317" s="7">
        <v>3</v>
      </c>
      <c r="C317" s="2" t="s">
        <v>366</v>
      </c>
      <c r="D317" s="9">
        <v>0</v>
      </c>
      <c r="E317" s="9">
        <v>0</v>
      </c>
      <c r="F317" s="9">
        <v>6423</v>
      </c>
      <c r="G317" s="9">
        <v>112</v>
      </c>
      <c r="H317" s="9">
        <v>0</v>
      </c>
      <c r="I317" s="9">
        <v>0</v>
      </c>
      <c r="J317" s="9">
        <v>0</v>
      </c>
      <c r="K317" s="9">
        <v>0</v>
      </c>
      <c r="L317" s="9">
        <v>0</v>
      </c>
      <c r="M317" s="9">
        <v>0</v>
      </c>
      <c r="N317" s="9">
        <v>0</v>
      </c>
      <c r="O317" s="9">
        <v>1126</v>
      </c>
      <c r="P317" s="9">
        <v>0</v>
      </c>
      <c r="Q317" s="9">
        <v>465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8556</v>
      </c>
      <c r="X317" s="13">
        <f t="shared" si="27"/>
        <v>8126</v>
      </c>
      <c r="Y317" s="13">
        <f t="shared" si="28"/>
        <v>8556</v>
      </c>
      <c r="Z317" s="13">
        <f t="shared" si="29"/>
        <v>0</v>
      </c>
      <c r="AA317" s="13">
        <f t="shared" si="36"/>
        <v>19960</v>
      </c>
      <c r="AB317" s="13">
        <f t="shared" si="36"/>
        <v>20942</v>
      </c>
      <c r="AC317" s="13">
        <f t="shared" si="36"/>
        <v>0</v>
      </c>
    </row>
    <row r="318" spans="1:29" x14ac:dyDescent="0.25">
      <c r="A318" s="6" t="s">
        <v>362</v>
      </c>
      <c r="B318" s="7">
        <v>4</v>
      </c>
      <c r="C318" s="2" t="s">
        <v>367</v>
      </c>
      <c r="D318" s="9">
        <v>0</v>
      </c>
      <c r="E318" s="9">
        <v>0</v>
      </c>
      <c r="F318" s="9">
        <v>3716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0</v>
      </c>
      <c r="M318" s="9">
        <v>0</v>
      </c>
      <c r="N318" s="9">
        <v>0</v>
      </c>
      <c r="O318" s="9">
        <v>1276</v>
      </c>
      <c r="P318" s="9">
        <v>0</v>
      </c>
      <c r="Q318" s="9">
        <v>394</v>
      </c>
      <c r="R318" s="9">
        <v>0</v>
      </c>
      <c r="S318" s="9">
        <v>0</v>
      </c>
      <c r="T318" s="9">
        <v>0</v>
      </c>
      <c r="U318" s="9">
        <v>0</v>
      </c>
      <c r="V318" s="9">
        <v>0</v>
      </c>
      <c r="W318" s="9">
        <v>9337</v>
      </c>
      <c r="X318" s="13">
        <f t="shared" si="27"/>
        <v>5386</v>
      </c>
      <c r="Y318" s="13">
        <f t="shared" si="28"/>
        <v>9337</v>
      </c>
      <c r="Z318" s="13">
        <f t="shared" si="29"/>
        <v>0</v>
      </c>
      <c r="AA318" s="13">
        <f t="shared" si="36"/>
        <v>25346</v>
      </c>
      <c r="AB318" s="13">
        <f t="shared" si="36"/>
        <v>30279</v>
      </c>
      <c r="AC318" s="13">
        <f t="shared" si="36"/>
        <v>0</v>
      </c>
    </row>
    <row r="319" spans="1:29" x14ac:dyDescent="0.25">
      <c r="D319" s="27"/>
      <c r="E319" s="27"/>
      <c r="F319" s="27"/>
      <c r="G319" s="27"/>
    </row>
    <row r="320" spans="1:29" x14ac:dyDescent="0.25">
      <c r="D320" s="27"/>
      <c r="E320" s="27"/>
      <c r="F320" s="27"/>
      <c r="G320" s="27"/>
    </row>
    <row r="321" spans="4:7" x14ac:dyDescent="0.25">
      <c r="D321" s="27"/>
      <c r="E321" s="27"/>
      <c r="F321" s="27"/>
      <c r="G321" s="27"/>
    </row>
    <row r="322" spans="4:7" x14ac:dyDescent="0.25">
      <c r="D322" s="27"/>
      <c r="E322" s="27"/>
      <c r="F322" s="27"/>
      <c r="G322" s="27"/>
    </row>
    <row r="323" spans="4:7" x14ac:dyDescent="0.25">
      <c r="D323" s="27"/>
      <c r="E323" s="27"/>
      <c r="F323" s="27"/>
      <c r="G323" s="27"/>
    </row>
    <row r="324" spans="4:7" x14ac:dyDescent="0.25">
      <c r="D324" s="27"/>
      <c r="E324" s="27"/>
      <c r="F324" s="27"/>
      <c r="G324" s="27"/>
    </row>
    <row r="325" spans="4:7" x14ac:dyDescent="0.25">
      <c r="D325" s="27"/>
      <c r="E325" s="27"/>
      <c r="F325" s="27"/>
      <c r="G325" s="27"/>
    </row>
    <row r="326" spans="4:7" x14ac:dyDescent="0.25">
      <c r="D326" s="27"/>
      <c r="E326" s="27"/>
      <c r="F326" s="27"/>
      <c r="G326" s="27"/>
    </row>
    <row r="327" spans="4:7" x14ac:dyDescent="0.25">
      <c r="D327" s="27"/>
      <c r="E327" s="27"/>
      <c r="F327" s="27"/>
      <c r="G327" s="27"/>
    </row>
    <row r="328" spans="4:7" x14ac:dyDescent="0.25">
      <c r="D328" s="27"/>
      <c r="E328" s="27"/>
      <c r="F328" s="27"/>
      <c r="G328" s="27"/>
    </row>
    <row r="329" spans="4:7" x14ac:dyDescent="0.25">
      <c r="D329" s="27"/>
      <c r="E329" s="27"/>
      <c r="F329" s="27"/>
      <c r="G329" s="27"/>
    </row>
    <row r="330" spans="4:7" x14ac:dyDescent="0.25">
      <c r="D330" s="27"/>
      <c r="E330" s="27"/>
      <c r="F330" s="27"/>
      <c r="G330" s="27"/>
    </row>
    <row r="331" spans="4:7" x14ac:dyDescent="0.25">
      <c r="D331" s="27"/>
      <c r="E331" s="27"/>
      <c r="F331" s="27"/>
      <c r="G331" s="27"/>
    </row>
    <row r="332" spans="4:7" x14ac:dyDescent="0.25">
      <c r="D332" s="27"/>
      <c r="E332" s="27"/>
      <c r="F332" s="27"/>
      <c r="G332" s="27"/>
    </row>
    <row r="333" spans="4:7" x14ac:dyDescent="0.25">
      <c r="D333" s="27"/>
      <c r="E333" s="27"/>
      <c r="F333" s="27"/>
      <c r="G333" s="27"/>
    </row>
    <row r="334" spans="4:7" x14ac:dyDescent="0.25">
      <c r="D334" s="27"/>
      <c r="E334" s="27"/>
      <c r="F334" s="27"/>
      <c r="G334" s="27"/>
    </row>
    <row r="335" spans="4:7" x14ac:dyDescent="0.25">
      <c r="D335" s="27"/>
      <c r="E335" s="27"/>
      <c r="F335" s="27"/>
      <c r="G335" s="27"/>
    </row>
    <row r="336" spans="4:7" x14ac:dyDescent="0.25">
      <c r="D336" s="27"/>
      <c r="E336" s="27"/>
      <c r="F336" s="27"/>
      <c r="G336" s="27"/>
    </row>
    <row r="337" spans="4:7" x14ac:dyDescent="0.25">
      <c r="D337" s="27"/>
      <c r="E337" s="27"/>
      <c r="F337" s="27"/>
      <c r="G337" s="27"/>
    </row>
    <row r="338" spans="4:7" x14ac:dyDescent="0.25">
      <c r="D338" s="27"/>
      <c r="E338" s="27"/>
      <c r="F338" s="27"/>
      <c r="G338" s="27"/>
    </row>
    <row r="339" spans="4:7" x14ac:dyDescent="0.25">
      <c r="D339" s="27"/>
      <c r="E339" s="27"/>
      <c r="F339" s="27"/>
      <c r="G339" s="27"/>
    </row>
    <row r="340" spans="4:7" x14ac:dyDescent="0.25">
      <c r="D340" s="27"/>
      <c r="E340" s="27"/>
      <c r="F340" s="27"/>
      <c r="G340" s="27"/>
    </row>
    <row r="341" spans="4:7" x14ac:dyDescent="0.25">
      <c r="D341" s="27"/>
      <c r="E341" s="27"/>
      <c r="F341" s="27"/>
      <c r="G341" s="27"/>
    </row>
    <row r="342" spans="4:7" x14ac:dyDescent="0.25">
      <c r="D342" s="27"/>
      <c r="E342" s="27"/>
      <c r="F342" s="27"/>
      <c r="G342" s="27"/>
    </row>
    <row r="343" spans="4:7" x14ac:dyDescent="0.25">
      <c r="D343" s="27"/>
      <c r="E343" s="27"/>
      <c r="F343" s="27"/>
      <c r="G343" s="27"/>
    </row>
    <row r="344" spans="4:7" x14ac:dyDescent="0.25">
      <c r="D344" s="27"/>
      <c r="E344" s="27"/>
      <c r="F344" s="27"/>
      <c r="G344" s="27"/>
    </row>
    <row r="345" spans="4:7" x14ac:dyDescent="0.25">
      <c r="D345" s="27"/>
      <c r="E345" s="27"/>
      <c r="F345" s="27"/>
      <c r="G345" s="27"/>
    </row>
    <row r="346" spans="4:7" x14ac:dyDescent="0.25">
      <c r="D346" s="27"/>
      <c r="E346" s="27"/>
      <c r="F346" s="27"/>
      <c r="G346" s="27"/>
    </row>
    <row r="347" spans="4:7" x14ac:dyDescent="0.25">
      <c r="D347" s="27"/>
      <c r="E347" s="27"/>
      <c r="F347" s="27"/>
      <c r="G347" s="27"/>
    </row>
    <row r="348" spans="4:7" x14ac:dyDescent="0.25">
      <c r="D348" s="27"/>
      <c r="E348" s="27"/>
      <c r="F348" s="27"/>
      <c r="G348" s="27"/>
    </row>
    <row r="349" spans="4:7" x14ac:dyDescent="0.25">
      <c r="D349" s="27"/>
      <c r="E349" s="27"/>
      <c r="F349" s="27"/>
      <c r="G349" s="27"/>
    </row>
    <row r="350" spans="4:7" x14ac:dyDescent="0.25">
      <c r="D350" s="27"/>
      <c r="E350" s="27"/>
      <c r="F350" s="27"/>
      <c r="G350" s="27"/>
    </row>
    <row r="351" spans="4:7" x14ac:dyDescent="0.25">
      <c r="D351" s="27"/>
      <c r="E351" s="27"/>
      <c r="F351" s="27"/>
      <c r="G351" s="27"/>
    </row>
    <row r="352" spans="4:7" x14ac:dyDescent="0.25">
      <c r="D352" s="27"/>
      <c r="E352" s="27"/>
      <c r="F352" s="27"/>
      <c r="G352" s="27"/>
    </row>
    <row r="353" spans="4:7" x14ac:dyDescent="0.25">
      <c r="D353" s="27"/>
      <c r="E353" s="27"/>
      <c r="F353" s="27"/>
      <c r="G353" s="27"/>
    </row>
    <row r="354" spans="4:7" x14ac:dyDescent="0.25">
      <c r="D354" s="27"/>
      <c r="E354" s="27"/>
      <c r="F354" s="27"/>
      <c r="G354" s="27"/>
    </row>
    <row r="355" spans="4:7" x14ac:dyDescent="0.25">
      <c r="D355" s="27"/>
      <c r="E355" s="27"/>
      <c r="F355" s="27"/>
      <c r="G355" s="27"/>
    </row>
    <row r="356" spans="4:7" x14ac:dyDescent="0.25">
      <c r="D356" s="27"/>
      <c r="E356" s="27"/>
      <c r="F356" s="27"/>
      <c r="G356" s="27"/>
    </row>
    <row r="357" spans="4:7" x14ac:dyDescent="0.25">
      <c r="D357" s="27"/>
      <c r="E357" s="27"/>
      <c r="F357" s="27"/>
      <c r="G357" s="27"/>
    </row>
    <row r="358" spans="4:7" x14ac:dyDescent="0.25">
      <c r="D358" s="27"/>
      <c r="E358" s="27"/>
      <c r="F358" s="27"/>
      <c r="G358" s="27"/>
    </row>
    <row r="359" spans="4:7" x14ac:dyDescent="0.25">
      <c r="D359" s="27"/>
      <c r="E359" s="27"/>
      <c r="F359" s="27"/>
      <c r="G359" s="27"/>
    </row>
    <row r="360" spans="4:7" x14ac:dyDescent="0.25">
      <c r="D360" s="28"/>
      <c r="E360" s="28"/>
      <c r="F360" s="28"/>
      <c r="G360" s="27"/>
    </row>
    <row r="361" spans="4:7" x14ac:dyDescent="0.25">
      <c r="D361" s="28"/>
      <c r="E361" s="28"/>
      <c r="F361" s="28"/>
      <c r="G361" s="27"/>
    </row>
    <row r="362" spans="4:7" x14ac:dyDescent="0.25">
      <c r="D362" s="28"/>
      <c r="E362" s="28"/>
      <c r="F362" s="28"/>
      <c r="G362" s="27"/>
    </row>
    <row r="363" spans="4:7" x14ac:dyDescent="0.25">
      <c r="D363" s="28"/>
      <c r="E363" s="28"/>
      <c r="F363" s="28"/>
      <c r="G363" s="27"/>
    </row>
    <row r="364" spans="4:7" x14ac:dyDescent="0.25">
      <c r="D364" s="28"/>
      <c r="E364" s="28"/>
      <c r="F364" s="28"/>
      <c r="G364" s="27"/>
    </row>
    <row r="365" spans="4:7" x14ac:dyDescent="0.25">
      <c r="D365" s="28"/>
      <c r="E365" s="28"/>
      <c r="F365" s="28"/>
      <c r="G365" s="27"/>
    </row>
    <row r="366" spans="4:7" x14ac:dyDescent="0.25">
      <c r="D366" s="28"/>
      <c r="E366" s="28"/>
      <c r="F366" s="28"/>
      <c r="G366" s="27"/>
    </row>
    <row r="367" spans="4:7" x14ac:dyDescent="0.25">
      <c r="D367" s="28"/>
      <c r="E367" s="28"/>
      <c r="F367" s="28"/>
      <c r="G367" s="27"/>
    </row>
    <row r="368" spans="4:7" x14ac:dyDescent="0.25">
      <c r="D368" s="28"/>
      <c r="E368" s="28"/>
      <c r="F368" s="28"/>
      <c r="G368" s="27"/>
    </row>
    <row r="369" spans="4:7" x14ac:dyDescent="0.25">
      <c r="D369" s="28"/>
      <c r="E369" s="28"/>
      <c r="F369" s="28"/>
      <c r="G369" s="27"/>
    </row>
    <row r="370" spans="4:7" x14ac:dyDescent="0.25">
      <c r="D370" s="28"/>
      <c r="E370" s="28"/>
      <c r="F370" s="28"/>
      <c r="G370" s="27"/>
    </row>
    <row r="371" spans="4:7" x14ac:dyDescent="0.25">
      <c r="D371" s="28"/>
      <c r="E371" s="28"/>
      <c r="F371" s="28"/>
      <c r="G371" s="27"/>
    </row>
    <row r="372" spans="4:7" x14ac:dyDescent="0.25">
      <c r="D372" s="28"/>
      <c r="E372" s="28"/>
      <c r="F372" s="28"/>
      <c r="G372" s="27"/>
    </row>
    <row r="373" spans="4:7" x14ac:dyDescent="0.25">
      <c r="D373" s="28"/>
      <c r="E373" s="28"/>
      <c r="F373" s="28"/>
      <c r="G373" s="27"/>
    </row>
    <row r="374" spans="4:7" x14ac:dyDescent="0.25">
      <c r="D374" s="28"/>
      <c r="E374" s="28"/>
      <c r="F374" s="28"/>
      <c r="G374" s="27"/>
    </row>
    <row r="375" spans="4:7" x14ac:dyDescent="0.25">
      <c r="D375" s="28"/>
      <c r="E375" s="28"/>
      <c r="F375" s="28"/>
      <c r="G375" s="27"/>
    </row>
    <row r="376" spans="4:7" x14ac:dyDescent="0.25">
      <c r="D376" s="28"/>
      <c r="E376" s="28"/>
      <c r="F376" s="28"/>
      <c r="G376" s="27"/>
    </row>
    <row r="377" spans="4:7" x14ac:dyDescent="0.25">
      <c r="D377" s="28"/>
      <c r="E377" s="28"/>
      <c r="F377" s="28"/>
      <c r="G377" s="27"/>
    </row>
    <row r="378" spans="4:7" x14ac:dyDescent="0.25">
      <c r="D378" s="28"/>
      <c r="E378" s="28"/>
      <c r="F378" s="28"/>
      <c r="G378" s="27"/>
    </row>
    <row r="379" spans="4:7" x14ac:dyDescent="0.25">
      <c r="D379" s="28"/>
      <c r="E379" s="28"/>
      <c r="F379" s="28"/>
      <c r="G379" s="27"/>
    </row>
    <row r="380" spans="4:7" x14ac:dyDescent="0.25">
      <c r="D380" s="28"/>
      <c r="E380" s="28"/>
      <c r="F380" s="28"/>
      <c r="G380" s="27"/>
    </row>
    <row r="381" spans="4:7" x14ac:dyDescent="0.25">
      <c r="D381" s="28"/>
      <c r="E381" s="28"/>
      <c r="F381" s="28"/>
      <c r="G381" s="27"/>
    </row>
    <row r="382" spans="4:7" x14ac:dyDescent="0.25">
      <c r="D382" s="28"/>
      <c r="E382" s="28"/>
      <c r="F382" s="28"/>
      <c r="G382" s="27"/>
    </row>
    <row r="383" spans="4:7" x14ac:dyDescent="0.25">
      <c r="D383" s="28"/>
      <c r="E383" s="28"/>
      <c r="F383" s="28"/>
      <c r="G383" s="27"/>
    </row>
    <row r="384" spans="4:7" x14ac:dyDescent="0.25">
      <c r="D384" s="28"/>
      <c r="E384" s="28"/>
      <c r="F384" s="28"/>
      <c r="G384" s="27"/>
    </row>
    <row r="385" spans="4:7" x14ac:dyDescent="0.25">
      <c r="D385" s="28"/>
      <c r="E385" s="28"/>
      <c r="F385" s="28"/>
      <c r="G385" s="27"/>
    </row>
    <row r="386" spans="4:7" x14ac:dyDescent="0.25">
      <c r="D386" s="28"/>
      <c r="E386" s="28"/>
      <c r="F386" s="28"/>
      <c r="G386" s="27"/>
    </row>
    <row r="387" spans="4:7" x14ac:dyDescent="0.25">
      <c r="D387" s="28"/>
      <c r="E387" s="28"/>
      <c r="F387" s="28"/>
      <c r="G387" s="27"/>
    </row>
    <row r="388" spans="4:7" x14ac:dyDescent="0.25">
      <c r="D388" s="28"/>
      <c r="E388" s="28"/>
      <c r="F388" s="28"/>
      <c r="G388" s="27"/>
    </row>
    <row r="389" spans="4:7" x14ac:dyDescent="0.25">
      <c r="D389" s="28"/>
      <c r="E389" s="28"/>
      <c r="F389" s="28"/>
      <c r="G389" s="27"/>
    </row>
    <row r="390" spans="4:7" x14ac:dyDescent="0.25">
      <c r="D390" s="28"/>
      <c r="E390" s="28"/>
      <c r="F390" s="28"/>
      <c r="G390" s="27"/>
    </row>
    <row r="391" spans="4:7" x14ac:dyDescent="0.25">
      <c r="D391" s="28"/>
      <c r="E391" s="28"/>
      <c r="F391" s="28"/>
      <c r="G391" s="27"/>
    </row>
    <row r="392" spans="4:7" x14ac:dyDescent="0.25">
      <c r="D392" s="28"/>
      <c r="E392" s="28"/>
      <c r="F392" s="28"/>
      <c r="G392" s="27"/>
    </row>
    <row r="393" spans="4:7" x14ac:dyDescent="0.25">
      <c r="D393" s="28"/>
      <c r="E393" s="28"/>
      <c r="F393" s="28"/>
      <c r="G393" s="27"/>
    </row>
    <row r="394" spans="4:7" x14ac:dyDescent="0.25">
      <c r="D394" s="28"/>
      <c r="E394" s="28"/>
      <c r="F394" s="28"/>
      <c r="G394" s="27"/>
    </row>
    <row r="395" spans="4:7" x14ac:dyDescent="0.25">
      <c r="D395" s="28"/>
      <c r="E395" s="28"/>
      <c r="F395" s="28"/>
      <c r="G395" s="27"/>
    </row>
    <row r="396" spans="4:7" x14ac:dyDescent="0.25">
      <c r="D396" s="28"/>
      <c r="E396" s="28"/>
      <c r="F396" s="28"/>
      <c r="G396" s="27"/>
    </row>
    <row r="397" spans="4:7" x14ac:dyDescent="0.25">
      <c r="D397" s="28"/>
      <c r="E397" s="28"/>
      <c r="F397" s="28"/>
      <c r="G397" s="27"/>
    </row>
    <row r="398" spans="4:7" x14ac:dyDescent="0.25">
      <c r="D398" s="28"/>
      <c r="E398" s="28"/>
      <c r="F398" s="28"/>
      <c r="G398" s="27"/>
    </row>
    <row r="399" spans="4:7" x14ac:dyDescent="0.25">
      <c r="D399" s="28"/>
      <c r="E399" s="28"/>
      <c r="F399" s="28"/>
      <c r="G399" s="27"/>
    </row>
    <row r="400" spans="4:7" x14ac:dyDescent="0.25">
      <c r="D400" s="28"/>
      <c r="E400" s="28"/>
      <c r="F400" s="28"/>
      <c r="G400" s="27"/>
    </row>
    <row r="401" spans="4:7" x14ac:dyDescent="0.25">
      <c r="D401" s="28"/>
      <c r="E401" s="28"/>
      <c r="F401" s="28"/>
      <c r="G401" s="27"/>
    </row>
    <row r="402" spans="4:7" x14ac:dyDescent="0.25">
      <c r="D402" s="28"/>
      <c r="E402" s="28"/>
      <c r="F402" s="28"/>
      <c r="G402" s="27"/>
    </row>
    <row r="403" spans="4:7" x14ac:dyDescent="0.25">
      <c r="D403" s="28"/>
      <c r="E403" s="28"/>
      <c r="F403" s="28"/>
      <c r="G403" s="27"/>
    </row>
    <row r="404" spans="4:7" x14ac:dyDescent="0.25">
      <c r="D404" s="28"/>
      <c r="E404" s="28"/>
      <c r="F404" s="28"/>
      <c r="G404" s="27"/>
    </row>
    <row r="405" spans="4:7" x14ac:dyDescent="0.25">
      <c r="D405" s="28"/>
      <c r="E405" s="28"/>
      <c r="F405" s="28"/>
      <c r="G405" s="27"/>
    </row>
    <row r="406" spans="4:7" x14ac:dyDescent="0.25">
      <c r="D406" s="28"/>
      <c r="E406" s="28"/>
      <c r="F406" s="28"/>
      <c r="G406" s="27"/>
    </row>
    <row r="407" spans="4:7" x14ac:dyDescent="0.25">
      <c r="D407" s="28"/>
      <c r="E407" s="28"/>
      <c r="F407" s="28"/>
      <c r="G407" s="27"/>
    </row>
    <row r="408" spans="4:7" x14ac:dyDescent="0.25">
      <c r="D408" s="28"/>
      <c r="E408" s="28"/>
      <c r="F408" s="28"/>
      <c r="G408" s="27"/>
    </row>
    <row r="409" spans="4:7" x14ac:dyDescent="0.25">
      <c r="D409" s="28"/>
      <c r="E409" s="28"/>
      <c r="F409" s="28"/>
      <c r="G409" s="27"/>
    </row>
    <row r="410" spans="4:7" x14ac:dyDescent="0.25">
      <c r="D410" s="27"/>
      <c r="E410" s="27"/>
      <c r="F410" s="27"/>
      <c r="G410" s="27"/>
    </row>
    <row r="411" spans="4:7" x14ac:dyDescent="0.25">
      <c r="D411" s="27"/>
      <c r="E411" s="27"/>
      <c r="F411" s="27"/>
      <c r="G411" s="27"/>
    </row>
    <row r="412" spans="4:7" x14ac:dyDescent="0.25">
      <c r="D412" s="27"/>
      <c r="E412" s="27"/>
      <c r="F412" s="27"/>
      <c r="G412" s="27"/>
    </row>
    <row r="413" spans="4:7" x14ac:dyDescent="0.25">
      <c r="D413" s="27"/>
      <c r="E413" s="27"/>
      <c r="F413" s="27"/>
      <c r="G413" s="27"/>
    </row>
    <row r="414" spans="4:7" x14ac:dyDescent="0.25">
      <c r="D414" s="28"/>
      <c r="E414" s="28"/>
      <c r="F414" s="27"/>
      <c r="G414" s="28"/>
    </row>
    <row r="415" spans="4:7" x14ac:dyDescent="0.25">
      <c r="D415" s="28"/>
      <c r="E415" s="28"/>
      <c r="F415" s="27"/>
      <c r="G415" s="28"/>
    </row>
    <row r="416" spans="4:7" x14ac:dyDescent="0.25">
      <c r="D416" s="28"/>
      <c r="E416" s="28"/>
      <c r="F416" s="27"/>
      <c r="G416" s="28"/>
    </row>
    <row r="417" spans="4:7" x14ac:dyDescent="0.25">
      <c r="D417" s="28"/>
      <c r="E417" s="28"/>
      <c r="F417" s="27"/>
      <c r="G417" s="28"/>
    </row>
    <row r="418" spans="4:7" x14ac:dyDescent="0.25">
      <c r="D418" s="28"/>
      <c r="E418" s="28"/>
      <c r="F418" s="27"/>
      <c r="G418" s="28"/>
    </row>
    <row r="419" spans="4:7" x14ac:dyDescent="0.25">
      <c r="D419" s="28"/>
      <c r="E419" s="28"/>
      <c r="F419" s="27"/>
      <c r="G419" s="28"/>
    </row>
    <row r="420" spans="4:7" x14ac:dyDescent="0.25">
      <c r="D420" s="28"/>
      <c r="E420" s="28"/>
      <c r="F420" s="27"/>
      <c r="G420" s="28"/>
    </row>
    <row r="421" spans="4:7" x14ac:dyDescent="0.25">
      <c r="D421" s="28"/>
      <c r="E421" s="28"/>
      <c r="F421" s="27"/>
      <c r="G421" s="28"/>
    </row>
    <row r="422" spans="4:7" x14ac:dyDescent="0.25">
      <c r="D422" s="28"/>
      <c r="E422" s="28"/>
      <c r="F422" s="27"/>
      <c r="G422" s="28"/>
    </row>
    <row r="423" spans="4:7" x14ac:dyDescent="0.25">
      <c r="D423" s="28"/>
      <c r="E423" s="28"/>
      <c r="F423" s="27"/>
      <c r="G423" s="28"/>
    </row>
    <row r="424" spans="4:7" x14ac:dyDescent="0.25">
      <c r="D424" s="28"/>
      <c r="E424" s="28"/>
      <c r="F424" s="27"/>
      <c r="G424" s="28"/>
    </row>
    <row r="425" spans="4:7" x14ac:dyDescent="0.25">
      <c r="D425" s="28"/>
      <c r="E425" s="28"/>
      <c r="F425" s="27"/>
      <c r="G425" s="28"/>
    </row>
    <row r="426" spans="4:7" x14ac:dyDescent="0.25">
      <c r="D426" s="28"/>
      <c r="E426" s="28"/>
      <c r="F426" s="27"/>
      <c r="G426" s="28"/>
    </row>
    <row r="427" spans="4:7" x14ac:dyDescent="0.25">
      <c r="D427" s="28"/>
      <c r="E427" s="28"/>
      <c r="F427" s="27"/>
      <c r="G427" s="28"/>
    </row>
    <row r="428" spans="4:7" x14ac:dyDescent="0.25">
      <c r="D428" s="28"/>
      <c r="E428" s="28"/>
      <c r="F428" s="27"/>
      <c r="G428" s="28"/>
    </row>
    <row r="429" spans="4:7" x14ac:dyDescent="0.25">
      <c r="D429" s="28"/>
      <c r="E429" s="28"/>
      <c r="F429" s="27"/>
      <c r="G429" s="28"/>
    </row>
    <row r="430" spans="4:7" x14ac:dyDescent="0.25">
      <c r="D430" s="28"/>
      <c r="E430" s="28"/>
      <c r="F430" s="27"/>
      <c r="G430" s="28"/>
    </row>
    <row r="431" spans="4:7" x14ac:dyDescent="0.25">
      <c r="D431" s="28"/>
      <c r="E431" s="28"/>
      <c r="F431" s="27"/>
      <c r="G431" s="28"/>
    </row>
    <row r="432" spans="4:7" x14ac:dyDescent="0.25">
      <c r="D432" s="28"/>
      <c r="E432" s="28"/>
      <c r="F432" s="27"/>
      <c r="G432" s="28"/>
    </row>
    <row r="433" spans="4:7" x14ac:dyDescent="0.25">
      <c r="D433" s="28"/>
      <c r="E433" s="28"/>
      <c r="F433" s="27"/>
      <c r="G433" s="28"/>
    </row>
    <row r="434" spans="4:7" x14ac:dyDescent="0.25">
      <c r="D434" s="28"/>
      <c r="E434" s="28"/>
      <c r="F434" s="27"/>
      <c r="G434" s="28"/>
    </row>
    <row r="435" spans="4:7" x14ac:dyDescent="0.25">
      <c r="D435" s="28"/>
      <c r="E435" s="28"/>
      <c r="F435" s="27"/>
      <c r="G435" s="28"/>
    </row>
    <row r="436" spans="4:7" x14ac:dyDescent="0.25">
      <c r="D436" s="28"/>
      <c r="E436" s="28"/>
      <c r="F436" s="27"/>
      <c r="G436" s="28"/>
    </row>
    <row r="437" spans="4:7" x14ac:dyDescent="0.25">
      <c r="D437" s="28"/>
      <c r="E437" s="28"/>
      <c r="F437" s="27"/>
      <c r="G437" s="28"/>
    </row>
    <row r="438" spans="4:7" x14ac:dyDescent="0.25">
      <c r="D438" s="28"/>
      <c r="E438" s="28"/>
      <c r="F438" s="27"/>
      <c r="G438" s="28"/>
    </row>
    <row r="439" spans="4:7" x14ac:dyDescent="0.25">
      <c r="D439" s="28"/>
      <c r="E439" s="28"/>
      <c r="F439" s="27"/>
      <c r="G439" s="28"/>
    </row>
    <row r="440" spans="4:7" x14ac:dyDescent="0.25">
      <c r="D440" s="28"/>
      <c r="E440" s="28"/>
      <c r="F440" s="27"/>
      <c r="G440" s="28"/>
    </row>
    <row r="441" spans="4:7" x14ac:dyDescent="0.25">
      <c r="D441" s="28"/>
      <c r="E441" s="28"/>
      <c r="F441" s="27"/>
      <c r="G441" s="28"/>
    </row>
    <row r="442" spans="4:7" x14ac:dyDescent="0.25">
      <c r="D442" s="28"/>
      <c r="E442" s="28"/>
      <c r="F442" s="27"/>
      <c r="G442" s="28"/>
    </row>
    <row r="443" spans="4:7" x14ac:dyDescent="0.25">
      <c r="D443" s="28"/>
      <c r="E443" s="28"/>
      <c r="F443" s="27"/>
      <c r="G443" s="28"/>
    </row>
    <row r="444" spans="4:7" x14ac:dyDescent="0.25">
      <c r="D444" s="28"/>
      <c r="E444" s="28"/>
      <c r="F444" s="27"/>
      <c r="G444" s="28"/>
    </row>
    <row r="445" spans="4:7" x14ac:dyDescent="0.25">
      <c r="D445" s="28"/>
      <c r="E445" s="28"/>
      <c r="F445" s="27"/>
      <c r="G445" s="28"/>
    </row>
    <row r="446" spans="4:7" x14ac:dyDescent="0.25">
      <c r="D446" s="28"/>
      <c r="E446" s="28"/>
      <c r="F446" s="27"/>
      <c r="G446" s="28"/>
    </row>
    <row r="447" spans="4:7" x14ac:dyDescent="0.25">
      <c r="D447" s="28"/>
      <c r="E447" s="28"/>
      <c r="F447" s="27"/>
      <c r="G447" s="28"/>
    </row>
    <row r="448" spans="4:7" x14ac:dyDescent="0.25">
      <c r="D448" s="28"/>
      <c r="E448" s="28"/>
      <c r="F448" s="27"/>
      <c r="G448" s="28"/>
    </row>
    <row r="449" spans="4:7" x14ac:dyDescent="0.25">
      <c r="D449" s="28"/>
      <c r="E449" s="28"/>
      <c r="F449" s="27"/>
      <c r="G449" s="28"/>
    </row>
    <row r="450" spans="4:7" x14ac:dyDescent="0.25">
      <c r="D450" s="28"/>
      <c r="E450" s="28"/>
      <c r="F450" s="27"/>
      <c r="G450" s="28"/>
    </row>
    <row r="451" spans="4:7" x14ac:dyDescent="0.25">
      <c r="D451" s="28"/>
      <c r="E451" s="28"/>
      <c r="F451" s="27"/>
      <c r="G451" s="28"/>
    </row>
    <row r="452" spans="4:7" x14ac:dyDescent="0.25">
      <c r="D452" s="28"/>
      <c r="E452" s="28"/>
      <c r="F452" s="27"/>
      <c r="G452" s="28"/>
    </row>
    <row r="453" spans="4:7" x14ac:dyDescent="0.25">
      <c r="D453" s="28"/>
      <c r="E453" s="28"/>
      <c r="F453" s="27"/>
      <c r="G453" s="28"/>
    </row>
    <row r="454" spans="4:7" x14ac:dyDescent="0.25">
      <c r="D454" s="28"/>
      <c r="E454" s="28"/>
      <c r="F454" s="27"/>
      <c r="G454" s="28"/>
    </row>
    <row r="455" spans="4:7" x14ac:dyDescent="0.25">
      <c r="D455" s="28"/>
      <c r="E455" s="28"/>
      <c r="F455" s="27"/>
      <c r="G455" s="28"/>
    </row>
    <row r="456" spans="4:7" x14ac:dyDescent="0.25">
      <c r="D456" s="28"/>
      <c r="E456" s="28"/>
      <c r="F456" s="27"/>
      <c r="G456" s="28"/>
    </row>
    <row r="457" spans="4:7" x14ac:dyDescent="0.25">
      <c r="D457" s="28"/>
      <c r="E457" s="28"/>
      <c r="F457" s="27"/>
      <c r="G457" s="28"/>
    </row>
    <row r="458" spans="4:7" x14ac:dyDescent="0.25">
      <c r="D458" s="28"/>
      <c r="E458" s="28"/>
      <c r="F458" s="27"/>
      <c r="G458" s="28"/>
    </row>
    <row r="459" spans="4:7" x14ac:dyDescent="0.25">
      <c r="D459" s="28"/>
      <c r="E459" s="28"/>
      <c r="F459" s="27"/>
      <c r="G459" s="28"/>
    </row>
    <row r="460" spans="4:7" x14ac:dyDescent="0.25">
      <c r="D460" s="28"/>
      <c r="E460" s="28"/>
      <c r="F460" s="27"/>
      <c r="G460" s="28"/>
    </row>
    <row r="461" spans="4:7" x14ac:dyDescent="0.25">
      <c r="D461" s="28"/>
      <c r="E461" s="28"/>
      <c r="F461" s="27"/>
      <c r="G461" s="28"/>
    </row>
    <row r="462" spans="4:7" x14ac:dyDescent="0.25">
      <c r="D462" s="28"/>
      <c r="E462" s="28"/>
      <c r="F462" s="27"/>
      <c r="G462" s="28"/>
    </row>
    <row r="463" spans="4:7" x14ac:dyDescent="0.25">
      <c r="D463" s="28"/>
      <c r="E463" s="28"/>
      <c r="F463" s="27"/>
      <c r="G463" s="28"/>
    </row>
    <row r="464" spans="4:7" x14ac:dyDescent="0.25">
      <c r="D464" s="28"/>
      <c r="E464" s="28"/>
      <c r="F464" s="27"/>
      <c r="G464" s="28"/>
    </row>
    <row r="465" spans="4:7" x14ac:dyDescent="0.25">
      <c r="D465" s="28"/>
      <c r="E465" s="28"/>
      <c r="F465" s="27"/>
      <c r="G465" s="28"/>
    </row>
    <row r="466" spans="4:7" x14ac:dyDescent="0.25">
      <c r="D466" s="29"/>
      <c r="E466" s="29"/>
      <c r="F466" s="29"/>
      <c r="G466" s="29"/>
    </row>
    <row r="467" spans="4:7" x14ac:dyDescent="0.25">
      <c r="D467" s="29"/>
      <c r="E467" s="29"/>
      <c r="F467" s="29"/>
      <c r="G467" s="29"/>
    </row>
    <row r="468" spans="4:7" x14ac:dyDescent="0.25">
      <c r="D468" s="29"/>
      <c r="E468" s="29"/>
      <c r="F468" s="29"/>
      <c r="G468" s="29"/>
    </row>
    <row r="469" spans="4:7" x14ac:dyDescent="0.25">
      <c r="D469" s="29"/>
      <c r="E469" s="29"/>
      <c r="F469" s="29"/>
      <c r="G469" s="29"/>
    </row>
    <row r="470" spans="4:7" x14ac:dyDescent="0.25">
      <c r="D470" s="29"/>
      <c r="E470" s="29"/>
      <c r="F470" s="29"/>
      <c r="G470" s="29"/>
    </row>
    <row r="471" spans="4:7" x14ac:dyDescent="0.25">
      <c r="D471" s="29"/>
      <c r="E471" s="29"/>
      <c r="F471" s="29"/>
      <c r="G471" s="29"/>
    </row>
    <row r="472" spans="4:7" x14ac:dyDescent="0.25">
      <c r="D472" s="29"/>
      <c r="E472" s="29"/>
      <c r="F472" s="29"/>
      <c r="G472" s="29"/>
    </row>
    <row r="473" spans="4:7" x14ac:dyDescent="0.25">
      <c r="D473" s="29"/>
      <c r="E473" s="29"/>
      <c r="F473" s="29"/>
      <c r="G473" s="29"/>
    </row>
    <row r="474" spans="4:7" x14ac:dyDescent="0.25">
      <c r="D474" s="29"/>
      <c r="E474" s="29"/>
      <c r="F474" s="29"/>
      <c r="G474" s="29"/>
    </row>
    <row r="475" spans="4:7" x14ac:dyDescent="0.25">
      <c r="D475" s="29"/>
      <c r="E475" s="29"/>
      <c r="F475" s="29"/>
      <c r="G475" s="29"/>
    </row>
    <row r="476" spans="4:7" x14ac:dyDescent="0.25">
      <c r="D476" s="29"/>
      <c r="E476" s="29"/>
      <c r="F476" s="29"/>
      <c r="G476" s="29"/>
    </row>
    <row r="477" spans="4:7" x14ac:dyDescent="0.25">
      <c r="D477" s="29"/>
      <c r="E477" s="29"/>
      <c r="F477" s="29"/>
      <c r="G477" s="29"/>
    </row>
    <row r="478" spans="4:7" x14ac:dyDescent="0.25">
      <c r="D478" s="29"/>
      <c r="E478" s="29"/>
      <c r="F478" s="29"/>
      <c r="G478" s="29"/>
    </row>
    <row r="479" spans="4:7" x14ac:dyDescent="0.25">
      <c r="D479" s="29"/>
      <c r="E479" s="29"/>
      <c r="F479" s="29"/>
      <c r="G479" s="29"/>
    </row>
    <row r="480" spans="4:7" x14ac:dyDescent="0.25">
      <c r="D480" s="29"/>
      <c r="E480" s="29"/>
      <c r="F480" s="29"/>
      <c r="G480" s="29"/>
    </row>
    <row r="481" spans="4:7" x14ac:dyDescent="0.25">
      <c r="D481" s="29"/>
      <c r="E481" s="29"/>
      <c r="F481" s="29"/>
      <c r="G481" s="29"/>
    </row>
    <row r="482" spans="4:7" x14ac:dyDescent="0.25">
      <c r="D482" s="29"/>
      <c r="E482" s="29"/>
      <c r="F482" s="29"/>
      <c r="G482" s="29"/>
    </row>
    <row r="483" spans="4:7" x14ac:dyDescent="0.25">
      <c r="D483" s="29"/>
      <c r="E483" s="29"/>
      <c r="F483" s="29"/>
      <c r="G483" s="29"/>
    </row>
    <row r="484" spans="4:7" x14ac:dyDescent="0.25">
      <c r="D484" s="29"/>
      <c r="E484" s="29"/>
      <c r="F484" s="29"/>
      <c r="G484" s="29"/>
    </row>
    <row r="485" spans="4:7" x14ac:dyDescent="0.25">
      <c r="D485" s="29"/>
      <c r="E485" s="29"/>
      <c r="F485" s="29"/>
      <c r="G485" s="29"/>
    </row>
    <row r="486" spans="4:7" x14ac:dyDescent="0.25">
      <c r="D486" s="29"/>
      <c r="E486" s="29"/>
      <c r="F486" s="29"/>
      <c r="G486" s="29"/>
    </row>
    <row r="487" spans="4:7" x14ac:dyDescent="0.25">
      <c r="D487" s="29"/>
      <c r="E487" s="29"/>
      <c r="F487" s="29"/>
      <c r="G487" s="29"/>
    </row>
    <row r="488" spans="4:7" x14ac:dyDescent="0.25">
      <c r="D488" s="29"/>
      <c r="E488" s="29"/>
      <c r="F488" s="29"/>
      <c r="G488" s="29"/>
    </row>
    <row r="489" spans="4:7" x14ac:dyDescent="0.25">
      <c r="D489" s="29"/>
      <c r="E489" s="29"/>
      <c r="F489" s="29"/>
      <c r="G489" s="29"/>
    </row>
    <row r="490" spans="4:7" x14ac:dyDescent="0.25">
      <c r="D490" s="29"/>
      <c r="E490" s="29"/>
      <c r="F490" s="29"/>
      <c r="G490" s="29"/>
    </row>
    <row r="491" spans="4:7" x14ac:dyDescent="0.25">
      <c r="D491" s="29"/>
      <c r="E491" s="29"/>
      <c r="F491" s="29"/>
      <c r="G491" s="29"/>
    </row>
    <row r="492" spans="4:7" x14ac:dyDescent="0.25">
      <c r="D492" s="29"/>
      <c r="E492" s="29"/>
      <c r="F492" s="29"/>
      <c r="G492" s="29"/>
    </row>
    <row r="493" spans="4:7" x14ac:dyDescent="0.25">
      <c r="D493" s="29"/>
      <c r="E493" s="29"/>
      <c r="F493" s="29"/>
      <c r="G493" s="29"/>
    </row>
    <row r="494" spans="4:7" x14ac:dyDescent="0.25">
      <c r="D494" s="29"/>
      <c r="E494" s="29"/>
      <c r="F494" s="29"/>
      <c r="G494" s="29"/>
    </row>
    <row r="495" spans="4:7" x14ac:dyDescent="0.25">
      <c r="D495" s="29"/>
      <c r="E495" s="29"/>
      <c r="F495" s="29"/>
      <c r="G495" s="29"/>
    </row>
    <row r="496" spans="4:7" x14ac:dyDescent="0.25">
      <c r="D496" s="29"/>
      <c r="E496" s="29"/>
      <c r="F496" s="29"/>
      <c r="G496" s="29"/>
    </row>
    <row r="497" spans="4:7" x14ac:dyDescent="0.25">
      <c r="D497" s="29"/>
      <c r="E497" s="29"/>
      <c r="F497" s="29"/>
      <c r="G497" s="29"/>
    </row>
    <row r="498" spans="4:7" x14ac:dyDescent="0.25">
      <c r="D498" s="29"/>
      <c r="E498" s="29"/>
      <c r="F498" s="29"/>
      <c r="G498" s="29"/>
    </row>
    <row r="499" spans="4:7" x14ac:dyDescent="0.25">
      <c r="D499" s="29"/>
      <c r="E499" s="29"/>
      <c r="F499" s="29"/>
      <c r="G499" s="29"/>
    </row>
    <row r="500" spans="4:7" x14ac:dyDescent="0.25">
      <c r="D500" s="29"/>
      <c r="E500" s="29"/>
      <c r="F500" s="29"/>
      <c r="G500" s="29"/>
    </row>
    <row r="501" spans="4:7" x14ac:dyDescent="0.25">
      <c r="D501" s="29"/>
      <c r="E501" s="29"/>
      <c r="F501" s="29"/>
      <c r="G501" s="29"/>
    </row>
    <row r="502" spans="4:7" x14ac:dyDescent="0.25">
      <c r="D502" s="29"/>
      <c r="E502" s="29"/>
      <c r="F502" s="29"/>
      <c r="G502" s="29"/>
    </row>
    <row r="503" spans="4:7" x14ac:dyDescent="0.25">
      <c r="D503" s="29"/>
      <c r="E503" s="29"/>
      <c r="F503" s="29"/>
      <c r="G503" s="29"/>
    </row>
    <row r="504" spans="4:7" x14ac:dyDescent="0.25">
      <c r="D504" s="29"/>
      <c r="E504" s="29"/>
      <c r="F504" s="29"/>
      <c r="G504" s="29"/>
    </row>
    <row r="505" spans="4:7" x14ac:dyDescent="0.25">
      <c r="D505" s="29"/>
      <c r="E505" s="29"/>
      <c r="F505" s="29"/>
      <c r="G505" s="29"/>
    </row>
    <row r="506" spans="4:7" x14ac:dyDescent="0.25">
      <c r="D506" s="29"/>
      <c r="E506" s="29"/>
      <c r="F506" s="29"/>
      <c r="G506" s="29"/>
    </row>
    <row r="507" spans="4:7" x14ac:dyDescent="0.25">
      <c r="D507" s="29"/>
      <c r="E507" s="29"/>
      <c r="F507" s="29"/>
      <c r="G507" s="29"/>
    </row>
    <row r="508" spans="4:7" x14ac:dyDescent="0.25">
      <c r="D508" s="29"/>
      <c r="E508" s="29"/>
      <c r="F508" s="29"/>
      <c r="G508" s="29"/>
    </row>
    <row r="509" spans="4:7" x14ac:dyDescent="0.25">
      <c r="D509" s="29"/>
      <c r="E509" s="29"/>
      <c r="F509" s="29"/>
      <c r="G509" s="29"/>
    </row>
    <row r="510" spans="4:7" x14ac:dyDescent="0.25">
      <c r="D510" s="29"/>
      <c r="E510" s="29"/>
      <c r="F510" s="29"/>
      <c r="G510" s="29"/>
    </row>
    <row r="511" spans="4:7" x14ac:dyDescent="0.25">
      <c r="D511" s="29"/>
      <c r="E511" s="29"/>
      <c r="F511" s="29"/>
      <c r="G511" s="29"/>
    </row>
    <row r="512" spans="4:7" x14ac:dyDescent="0.25">
      <c r="D512" s="29"/>
      <c r="E512" s="29"/>
      <c r="F512" s="29"/>
      <c r="G512" s="29"/>
    </row>
    <row r="513" spans="4:7" x14ac:dyDescent="0.25">
      <c r="D513" s="29"/>
      <c r="E513" s="29"/>
      <c r="F513" s="29"/>
      <c r="G513" s="29"/>
    </row>
    <row r="514" spans="4:7" x14ac:dyDescent="0.25">
      <c r="D514" s="29"/>
      <c r="E514" s="29"/>
      <c r="F514" s="29"/>
      <c r="G514" s="29"/>
    </row>
    <row r="515" spans="4:7" x14ac:dyDescent="0.25">
      <c r="D515" s="29"/>
      <c r="E515" s="29"/>
      <c r="F515" s="29"/>
      <c r="G515" s="29"/>
    </row>
    <row r="516" spans="4:7" x14ac:dyDescent="0.25">
      <c r="D516" s="29"/>
      <c r="E516" s="29"/>
      <c r="F516" s="29"/>
      <c r="G516" s="29"/>
    </row>
    <row r="517" spans="4:7" x14ac:dyDescent="0.25">
      <c r="D517" s="29"/>
      <c r="E517" s="29"/>
      <c r="F517" s="29"/>
      <c r="G517" s="29"/>
    </row>
    <row r="518" spans="4:7" x14ac:dyDescent="0.25">
      <c r="D518" s="29"/>
      <c r="E518" s="29"/>
      <c r="F518" s="29"/>
      <c r="G518" s="29"/>
    </row>
    <row r="519" spans="4:7" x14ac:dyDescent="0.25">
      <c r="D519" s="29"/>
      <c r="E519" s="29"/>
      <c r="F519" s="29"/>
      <c r="G519" s="29"/>
    </row>
    <row r="520" spans="4:7" x14ac:dyDescent="0.25">
      <c r="D520" s="29"/>
      <c r="E520" s="29"/>
      <c r="F520" s="29"/>
      <c r="G520" s="29"/>
    </row>
    <row r="521" spans="4:7" x14ac:dyDescent="0.25">
      <c r="D521" s="29"/>
      <c r="E521" s="29"/>
      <c r="F521" s="29"/>
      <c r="G521" s="29"/>
    </row>
    <row r="522" spans="4:7" x14ac:dyDescent="0.25">
      <c r="D522" s="29"/>
      <c r="E522" s="29"/>
      <c r="F522" s="29"/>
      <c r="G522" s="29"/>
    </row>
    <row r="523" spans="4:7" x14ac:dyDescent="0.25">
      <c r="D523" s="29"/>
      <c r="E523" s="29"/>
      <c r="F523" s="29"/>
      <c r="G523" s="29"/>
    </row>
    <row r="524" spans="4:7" x14ac:dyDescent="0.25">
      <c r="D524" s="29"/>
      <c r="E524" s="29"/>
      <c r="F524" s="29"/>
      <c r="G524" s="29"/>
    </row>
    <row r="525" spans="4:7" x14ac:dyDescent="0.25">
      <c r="D525" s="29"/>
      <c r="E525" s="29"/>
      <c r="F525" s="29"/>
      <c r="G525" s="29"/>
    </row>
    <row r="526" spans="4:7" x14ac:dyDescent="0.25">
      <c r="D526" s="29"/>
      <c r="E526" s="29"/>
      <c r="F526" s="29"/>
      <c r="G526" s="29"/>
    </row>
    <row r="527" spans="4:7" x14ac:dyDescent="0.25">
      <c r="D527" s="29"/>
      <c r="E527" s="29"/>
      <c r="F527" s="29"/>
      <c r="G527" s="29"/>
    </row>
    <row r="528" spans="4:7" x14ac:dyDescent="0.25">
      <c r="D528" s="29"/>
      <c r="E528" s="29"/>
      <c r="F528" s="29"/>
      <c r="G528" s="29"/>
    </row>
    <row r="529" spans="4:7" x14ac:dyDescent="0.25">
      <c r="D529" s="29"/>
      <c r="E529" s="29"/>
      <c r="F529" s="29"/>
      <c r="G529" s="29"/>
    </row>
    <row r="530" spans="4:7" x14ac:dyDescent="0.25">
      <c r="D530" s="29"/>
      <c r="E530" s="29"/>
      <c r="F530" s="29"/>
      <c r="G530" s="29"/>
    </row>
    <row r="531" spans="4:7" x14ac:dyDescent="0.25">
      <c r="D531" s="29"/>
      <c r="E531" s="29"/>
      <c r="F531" s="29"/>
      <c r="G531" s="29"/>
    </row>
    <row r="532" spans="4:7" x14ac:dyDescent="0.25">
      <c r="D532" s="29"/>
      <c r="E532" s="29"/>
      <c r="F532" s="29"/>
      <c r="G532" s="29"/>
    </row>
    <row r="533" spans="4:7" x14ac:dyDescent="0.25">
      <c r="D533" s="29"/>
      <c r="E533" s="29"/>
      <c r="F533" s="29"/>
      <c r="G533" s="29"/>
    </row>
    <row r="534" spans="4:7" x14ac:dyDescent="0.25">
      <c r="D534" s="29"/>
      <c r="E534" s="29"/>
      <c r="F534" s="29"/>
      <c r="G534" s="29"/>
    </row>
    <row r="535" spans="4:7" x14ac:dyDescent="0.25">
      <c r="D535" s="29"/>
      <c r="E535" s="29"/>
      <c r="F535" s="29"/>
      <c r="G535" s="29"/>
    </row>
    <row r="536" spans="4:7" x14ac:dyDescent="0.25">
      <c r="D536" s="29"/>
      <c r="E536" s="29"/>
      <c r="F536" s="29"/>
      <c r="G536" s="29"/>
    </row>
    <row r="537" spans="4:7" x14ac:dyDescent="0.25">
      <c r="D537" s="29"/>
      <c r="E537" s="29"/>
      <c r="F537" s="29"/>
      <c r="G537" s="29"/>
    </row>
    <row r="538" spans="4:7" x14ac:dyDescent="0.25">
      <c r="D538" s="29"/>
      <c r="E538" s="29"/>
      <c r="F538" s="29"/>
      <c r="G538" s="29"/>
    </row>
    <row r="539" spans="4:7" x14ac:dyDescent="0.25">
      <c r="D539" s="29"/>
      <c r="E539" s="29"/>
      <c r="F539" s="29"/>
      <c r="G539" s="29"/>
    </row>
    <row r="540" spans="4:7" x14ac:dyDescent="0.25">
      <c r="D540" s="29"/>
      <c r="E540" s="29"/>
      <c r="F540" s="29"/>
      <c r="G540" s="29"/>
    </row>
    <row r="541" spans="4:7" x14ac:dyDescent="0.25">
      <c r="D541" s="29"/>
      <c r="E541" s="29"/>
      <c r="F541" s="29"/>
      <c r="G541" s="29"/>
    </row>
    <row r="542" spans="4:7" x14ac:dyDescent="0.25">
      <c r="D542" s="29"/>
      <c r="E542" s="29"/>
      <c r="F542" s="29"/>
      <c r="G542" s="29"/>
    </row>
    <row r="543" spans="4:7" x14ac:dyDescent="0.25">
      <c r="D543" s="29"/>
      <c r="E543" s="29"/>
      <c r="F543" s="29"/>
      <c r="G543" s="29"/>
    </row>
    <row r="544" spans="4:7" x14ac:dyDescent="0.25">
      <c r="D544" s="29"/>
      <c r="E544" s="29"/>
      <c r="F544" s="29"/>
      <c r="G544" s="29"/>
    </row>
    <row r="545" spans="4:7" x14ac:dyDescent="0.25">
      <c r="D545" s="29"/>
      <c r="E545" s="29"/>
      <c r="F545" s="29"/>
      <c r="G545" s="29"/>
    </row>
    <row r="546" spans="4:7" x14ac:dyDescent="0.25">
      <c r="D546" s="29"/>
      <c r="E546" s="29"/>
      <c r="F546" s="29"/>
      <c r="G546" s="29"/>
    </row>
    <row r="547" spans="4:7" x14ac:dyDescent="0.25">
      <c r="D547" s="29"/>
      <c r="E547" s="29"/>
      <c r="F547" s="29"/>
      <c r="G547" s="29"/>
    </row>
    <row r="548" spans="4:7" x14ac:dyDescent="0.25">
      <c r="D548" s="29"/>
      <c r="E548" s="29"/>
      <c r="F548" s="29"/>
      <c r="G548" s="29"/>
    </row>
    <row r="549" spans="4:7" x14ac:dyDescent="0.25">
      <c r="D549" s="29"/>
      <c r="E549" s="29"/>
      <c r="F549" s="29"/>
      <c r="G549" s="29"/>
    </row>
    <row r="550" spans="4:7" x14ac:dyDescent="0.25">
      <c r="D550" s="29"/>
      <c r="E550" s="29"/>
      <c r="F550" s="29"/>
      <c r="G550" s="29"/>
    </row>
    <row r="551" spans="4:7" x14ac:dyDescent="0.25">
      <c r="D551" s="29"/>
      <c r="E551" s="29"/>
      <c r="F551" s="29"/>
      <c r="G551" s="29"/>
    </row>
    <row r="552" spans="4:7" x14ac:dyDescent="0.25">
      <c r="D552" s="29"/>
      <c r="E552" s="29"/>
      <c r="F552" s="29"/>
      <c r="G552" s="29"/>
    </row>
    <row r="553" spans="4:7" x14ac:dyDescent="0.25">
      <c r="D553" s="29"/>
      <c r="E553" s="29"/>
      <c r="F553" s="29"/>
      <c r="G553" s="29"/>
    </row>
    <row r="554" spans="4:7" x14ac:dyDescent="0.25">
      <c r="D554" s="29"/>
      <c r="E554" s="29"/>
      <c r="F554" s="29"/>
      <c r="G554" s="29"/>
    </row>
    <row r="555" spans="4:7" x14ac:dyDescent="0.25">
      <c r="D555" s="29"/>
      <c r="E555" s="29"/>
      <c r="F555" s="29"/>
      <c r="G555" s="29"/>
    </row>
    <row r="556" spans="4:7" x14ac:dyDescent="0.25">
      <c r="D556" s="29"/>
      <c r="E556" s="29"/>
      <c r="F556" s="29"/>
      <c r="G556" s="29"/>
    </row>
    <row r="557" spans="4:7" x14ac:dyDescent="0.25">
      <c r="D557" s="29"/>
      <c r="E557" s="29"/>
      <c r="F557" s="29"/>
      <c r="G557" s="29"/>
    </row>
    <row r="558" spans="4:7" x14ac:dyDescent="0.25">
      <c r="D558" s="29"/>
      <c r="E558" s="29"/>
      <c r="F558" s="29"/>
      <c r="G558" s="29"/>
    </row>
    <row r="559" spans="4:7" x14ac:dyDescent="0.25">
      <c r="D559" s="29"/>
      <c r="E559" s="29"/>
      <c r="F559" s="29"/>
      <c r="G559" s="29"/>
    </row>
    <row r="560" spans="4:7" x14ac:dyDescent="0.25">
      <c r="D560" s="29"/>
      <c r="E560" s="29"/>
      <c r="F560" s="29"/>
      <c r="G560" s="29"/>
    </row>
    <row r="561" spans="4:7" x14ac:dyDescent="0.25">
      <c r="D561" s="29"/>
      <c r="E561" s="29"/>
      <c r="F561" s="29"/>
      <c r="G561" s="29"/>
    </row>
    <row r="562" spans="4:7" x14ac:dyDescent="0.25">
      <c r="D562" s="29"/>
      <c r="E562" s="29"/>
      <c r="F562" s="29"/>
      <c r="G562" s="29"/>
    </row>
    <row r="563" spans="4:7" x14ac:dyDescent="0.25">
      <c r="D563" s="29"/>
      <c r="E563" s="29"/>
      <c r="F563" s="29"/>
      <c r="G563" s="29"/>
    </row>
    <row r="564" spans="4:7" x14ac:dyDescent="0.25">
      <c r="D564" s="29"/>
      <c r="E564" s="29"/>
      <c r="F564" s="29"/>
      <c r="G564" s="29"/>
    </row>
    <row r="565" spans="4:7" x14ac:dyDescent="0.25">
      <c r="D565" s="29"/>
      <c r="E565" s="29"/>
      <c r="F565" s="29"/>
      <c r="G565" s="29"/>
    </row>
    <row r="566" spans="4:7" x14ac:dyDescent="0.25">
      <c r="D566" s="29"/>
      <c r="E566" s="29"/>
      <c r="F566" s="29"/>
      <c r="G566" s="29"/>
    </row>
    <row r="567" spans="4:7" x14ac:dyDescent="0.25">
      <c r="D567" s="29"/>
      <c r="E567" s="29"/>
      <c r="F567" s="29"/>
      <c r="G567" s="29"/>
    </row>
    <row r="568" spans="4:7" x14ac:dyDescent="0.25">
      <c r="D568" s="29"/>
      <c r="E568" s="29"/>
      <c r="F568" s="29"/>
      <c r="G568" s="29"/>
    </row>
  </sheetData>
  <phoneticPr fontId="4" type="noConversion"/>
  <pageMargins left="0.7" right="0.7" top="0.75" bottom="0.75" header="0.3" footer="0.3"/>
  <pageSetup orientation="portrait" r:id="rId1"/>
  <ignoredErrors>
    <ignoredError sqref="AA315:AC31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A9000-83A0-4DA2-9753-8FA6605AE429}">
  <sheetPr>
    <tabColor theme="7" tint="0.39997558519241921"/>
  </sheetPr>
  <dimension ref="A1:AI318"/>
  <sheetViews>
    <sheetView zoomScale="70" zoomScaleNormal="70" workbookViewId="0">
      <pane ySplit="1" topLeftCell="A277" activePane="bottomLeft" state="frozen"/>
      <selection pane="bottomLeft" activeCell="C323" sqref="C323"/>
    </sheetView>
  </sheetViews>
  <sheetFormatPr defaultRowHeight="15" x14ac:dyDescent="0.25"/>
  <cols>
    <col min="1" max="1" width="11.140625" customWidth="1"/>
    <col min="2" max="2" width="17.28515625" bestFit="1" customWidth="1"/>
    <col min="3" max="3" width="34.28515625" bestFit="1" customWidth="1"/>
    <col min="4" max="4" width="11.7109375" bestFit="1" customWidth="1"/>
    <col min="5" max="5" width="14.5703125" bestFit="1" customWidth="1"/>
    <col min="6" max="6" width="8.85546875" bestFit="1" customWidth="1"/>
    <col min="7" max="7" width="28.28515625" bestFit="1" customWidth="1"/>
    <col min="8" max="8" width="11.140625" bestFit="1" customWidth="1"/>
    <col min="9" max="9" width="10" bestFit="1" customWidth="1"/>
    <col min="10" max="10" width="8.140625" bestFit="1" customWidth="1"/>
    <col min="11" max="11" width="9.5703125" bestFit="1" customWidth="1"/>
    <col min="12" max="12" width="19.28515625" bestFit="1" customWidth="1"/>
    <col min="13" max="13" width="18.5703125" bestFit="1" customWidth="1"/>
    <col min="14" max="14" width="12.140625" bestFit="1" customWidth="1"/>
    <col min="15" max="15" width="18.5703125" bestFit="1" customWidth="1"/>
    <col min="16" max="16" width="10.7109375" bestFit="1" customWidth="1"/>
    <col min="17" max="17" width="14" bestFit="1" customWidth="1"/>
    <col min="18" max="18" width="17.42578125" bestFit="1" customWidth="1"/>
    <col min="19" max="19" width="11.5703125" bestFit="1" customWidth="1"/>
    <col min="20" max="20" width="13.5703125" bestFit="1" customWidth="1"/>
    <col min="21" max="21" width="9.28515625" bestFit="1" customWidth="1"/>
    <col min="22" max="23" width="18.140625" bestFit="1" customWidth="1"/>
    <col min="24" max="24" width="16" bestFit="1" customWidth="1"/>
    <col min="25" max="25" width="8.7109375" bestFit="1" customWidth="1"/>
    <col min="26" max="26" width="30.140625" bestFit="1" customWidth="1"/>
    <col min="27" max="27" width="12" bestFit="1" customWidth="1"/>
    <col min="28" max="28" width="10.7109375" bestFit="1" customWidth="1"/>
    <col min="29" max="29" width="14" bestFit="1" customWidth="1"/>
    <col min="30" max="30" width="14.42578125" bestFit="1" customWidth="1"/>
    <col min="31" max="31" width="8.140625" bestFit="1" customWidth="1"/>
    <col min="32" max="32" width="10.7109375" bestFit="1" customWidth="1"/>
    <col min="33" max="33" width="27.28515625" bestFit="1" customWidth="1"/>
    <col min="34" max="34" width="20" bestFit="1" customWidth="1"/>
    <col min="35" max="35" width="23.42578125" bestFit="1" customWidth="1"/>
  </cols>
  <sheetData>
    <row r="1" spans="1:35" x14ac:dyDescent="0.25">
      <c r="A1" s="6" t="s">
        <v>0</v>
      </c>
      <c r="B1" s="6" t="s">
        <v>3</v>
      </c>
      <c r="C1" s="6" t="s">
        <v>2</v>
      </c>
      <c r="D1" s="1" t="s">
        <v>232</v>
      </c>
      <c r="E1" s="8" t="s">
        <v>118</v>
      </c>
      <c r="F1" s="1" t="s">
        <v>174</v>
      </c>
      <c r="G1" s="8" t="s">
        <v>119</v>
      </c>
      <c r="H1" s="1" t="s">
        <v>348</v>
      </c>
      <c r="I1" s="1" t="s">
        <v>233</v>
      </c>
      <c r="J1" s="1" t="s">
        <v>175</v>
      </c>
      <c r="K1" s="1" t="s">
        <v>176</v>
      </c>
      <c r="L1" s="1" t="s">
        <v>177</v>
      </c>
      <c r="M1" s="8" t="s">
        <v>120</v>
      </c>
      <c r="N1" s="4" t="s">
        <v>56</v>
      </c>
      <c r="O1" s="1" t="s">
        <v>120</v>
      </c>
      <c r="P1" s="1" t="s">
        <v>57</v>
      </c>
      <c r="Q1" s="1" t="s">
        <v>349</v>
      </c>
      <c r="R1" s="1" t="s">
        <v>58</v>
      </c>
      <c r="S1" s="1" t="s">
        <v>59</v>
      </c>
      <c r="T1" s="1" t="s">
        <v>350</v>
      </c>
      <c r="U1" s="1" t="s">
        <v>290</v>
      </c>
      <c r="V1" s="1" t="s">
        <v>234</v>
      </c>
      <c r="W1" s="1" t="s">
        <v>60</v>
      </c>
      <c r="X1" s="1" t="s">
        <v>178</v>
      </c>
      <c r="Y1" s="1" t="s">
        <v>235</v>
      </c>
      <c r="Z1" s="1" t="s">
        <v>61</v>
      </c>
      <c r="AA1" s="1" t="s">
        <v>62</v>
      </c>
      <c r="AB1" s="1" t="s">
        <v>63</v>
      </c>
      <c r="AC1" s="1" t="s">
        <v>64</v>
      </c>
      <c r="AD1" s="14" t="s">
        <v>291</v>
      </c>
      <c r="AE1" s="14" t="s">
        <v>292</v>
      </c>
      <c r="AF1" s="14" t="s">
        <v>293</v>
      </c>
      <c r="AG1" s="14" t="s">
        <v>294</v>
      </c>
      <c r="AH1" s="14" t="s">
        <v>295</v>
      </c>
      <c r="AI1" s="14" t="s">
        <v>296</v>
      </c>
    </row>
    <row r="2" spans="1:35" x14ac:dyDescent="0.25">
      <c r="A2" s="6" t="s">
        <v>289</v>
      </c>
      <c r="B2" s="2">
        <v>1</v>
      </c>
      <c r="C2" s="2" t="s">
        <v>236</v>
      </c>
      <c r="D2" s="3">
        <v>0</v>
      </c>
      <c r="E2" s="3">
        <v>102</v>
      </c>
      <c r="F2" s="3">
        <v>0</v>
      </c>
      <c r="G2" s="3">
        <v>188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293</v>
      </c>
      <c r="S2" s="3">
        <v>33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238</v>
      </c>
      <c r="AD2" s="13">
        <f t="shared" ref="AD2:AD65" si="0">E2+S2+N2+G2+R2</f>
        <v>616</v>
      </c>
      <c r="AE2" s="13">
        <f t="shared" ref="AE2:AE65" si="1">AC2</f>
        <v>238</v>
      </c>
      <c r="AF2" s="13">
        <f t="shared" ref="AF2:AF65" si="2">SUM(D2:AC2)-AD2-AE2</f>
        <v>0</v>
      </c>
      <c r="AG2" s="13">
        <f>AD2</f>
        <v>616</v>
      </c>
      <c r="AH2" s="13">
        <f>AE2</f>
        <v>238</v>
      </c>
      <c r="AI2" s="13">
        <f>AF2</f>
        <v>0</v>
      </c>
    </row>
    <row r="3" spans="1:35" x14ac:dyDescent="0.25">
      <c r="A3" s="6" t="s">
        <v>289</v>
      </c>
      <c r="B3" s="2">
        <v>2</v>
      </c>
      <c r="C3" s="2" t="s">
        <v>237</v>
      </c>
      <c r="D3" s="3">
        <v>0</v>
      </c>
      <c r="E3" s="3">
        <v>1625</v>
      </c>
      <c r="F3" s="3">
        <v>0</v>
      </c>
      <c r="G3" s="3">
        <v>1357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60</v>
      </c>
      <c r="O3" s="3">
        <v>0</v>
      </c>
      <c r="P3" s="3">
        <v>0</v>
      </c>
      <c r="Q3" s="3">
        <v>0</v>
      </c>
      <c r="R3" s="3">
        <v>1318</v>
      </c>
      <c r="S3" s="3">
        <v>106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2695</v>
      </c>
      <c r="AD3" s="13">
        <f t="shared" si="0"/>
        <v>4466</v>
      </c>
      <c r="AE3" s="13">
        <f t="shared" si="1"/>
        <v>2695</v>
      </c>
      <c r="AF3" s="13">
        <f t="shared" si="2"/>
        <v>0</v>
      </c>
      <c r="AG3" s="13">
        <f>AG2+AD3</f>
        <v>5082</v>
      </c>
      <c r="AH3" s="13">
        <f>AH2+AE3</f>
        <v>2933</v>
      </c>
      <c r="AI3" s="13">
        <f>AI2+AF3</f>
        <v>0</v>
      </c>
    </row>
    <row r="4" spans="1:35" x14ac:dyDescent="0.25">
      <c r="A4" s="6" t="s">
        <v>289</v>
      </c>
      <c r="B4" s="2">
        <v>3</v>
      </c>
      <c r="C4" s="2" t="s">
        <v>238</v>
      </c>
      <c r="D4" s="3">
        <v>0</v>
      </c>
      <c r="E4" s="3">
        <v>1321</v>
      </c>
      <c r="F4" s="3">
        <v>0</v>
      </c>
      <c r="G4" s="3">
        <v>1479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1350</v>
      </c>
      <c r="S4" s="3">
        <v>1072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3359</v>
      </c>
      <c r="AD4" s="13">
        <f t="shared" si="0"/>
        <v>5222</v>
      </c>
      <c r="AE4" s="13">
        <f t="shared" si="1"/>
        <v>3359</v>
      </c>
      <c r="AF4" s="13">
        <f t="shared" si="2"/>
        <v>0</v>
      </c>
      <c r="AG4" s="13">
        <f t="shared" ref="AG4:AG54" si="3">AG3+AD4</f>
        <v>10304</v>
      </c>
      <c r="AH4" s="13">
        <f t="shared" ref="AH4:AH54" si="4">AH3+AE4</f>
        <v>6292</v>
      </c>
      <c r="AI4" s="13">
        <f t="shared" ref="AI4:AI54" si="5">AI3+AF4</f>
        <v>0</v>
      </c>
    </row>
    <row r="5" spans="1:35" x14ac:dyDescent="0.25">
      <c r="A5" s="6" t="s">
        <v>289</v>
      </c>
      <c r="B5" s="2">
        <v>4</v>
      </c>
      <c r="C5" s="2" t="s">
        <v>239</v>
      </c>
      <c r="D5" s="3">
        <v>0</v>
      </c>
      <c r="E5" s="3">
        <v>1732</v>
      </c>
      <c r="F5" s="3">
        <v>0</v>
      </c>
      <c r="G5" s="3">
        <v>1399</v>
      </c>
      <c r="H5" s="3">
        <v>0</v>
      </c>
      <c r="I5" s="3">
        <v>0</v>
      </c>
      <c r="J5" s="3">
        <v>0</v>
      </c>
      <c r="K5" s="3">
        <v>0</v>
      </c>
      <c r="L5" s="3">
        <v>508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1002</v>
      </c>
      <c r="S5" s="3">
        <v>1397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2314</v>
      </c>
      <c r="AD5" s="13">
        <f t="shared" si="0"/>
        <v>5530</v>
      </c>
      <c r="AE5" s="13">
        <f t="shared" si="1"/>
        <v>2314</v>
      </c>
      <c r="AF5" s="13">
        <f t="shared" si="2"/>
        <v>508</v>
      </c>
      <c r="AG5" s="13">
        <f t="shared" si="3"/>
        <v>15834</v>
      </c>
      <c r="AH5" s="13">
        <f t="shared" si="4"/>
        <v>8606</v>
      </c>
      <c r="AI5" s="13">
        <f t="shared" si="5"/>
        <v>508</v>
      </c>
    </row>
    <row r="6" spans="1:35" x14ac:dyDescent="0.25">
      <c r="A6" s="6" t="s">
        <v>289</v>
      </c>
      <c r="B6" s="2">
        <v>5</v>
      </c>
      <c r="C6" s="2" t="s">
        <v>240</v>
      </c>
      <c r="D6" s="3">
        <v>0</v>
      </c>
      <c r="E6" s="3">
        <v>3700</v>
      </c>
      <c r="F6" s="3">
        <v>0</v>
      </c>
      <c r="G6" s="3">
        <v>5341</v>
      </c>
      <c r="H6" s="3">
        <v>0</v>
      </c>
      <c r="I6" s="3">
        <v>0</v>
      </c>
      <c r="J6" s="3">
        <v>0</v>
      </c>
      <c r="K6" s="3">
        <v>0</v>
      </c>
      <c r="L6" s="3">
        <v>41337</v>
      </c>
      <c r="M6" s="3">
        <v>0</v>
      </c>
      <c r="N6" s="3">
        <v>520</v>
      </c>
      <c r="O6" s="3">
        <v>0</v>
      </c>
      <c r="P6" s="3">
        <v>0</v>
      </c>
      <c r="Q6" s="3">
        <v>0</v>
      </c>
      <c r="R6" s="3">
        <v>339</v>
      </c>
      <c r="S6" s="3">
        <v>1331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2599</v>
      </c>
      <c r="AD6" s="13">
        <f t="shared" si="0"/>
        <v>11231</v>
      </c>
      <c r="AE6" s="13">
        <f t="shared" si="1"/>
        <v>2599</v>
      </c>
      <c r="AF6" s="13">
        <f t="shared" si="2"/>
        <v>41337</v>
      </c>
      <c r="AG6" s="13">
        <f t="shared" si="3"/>
        <v>27065</v>
      </c>
      <c r="AH6" s="13">
        <f t="shared" si="4"/>
        <v>11205</v>
      </c>
      <c r="AI6" s="13">
        <f t="shared" si="5"/>
        <v>41845</v>
      </c>
    </row>
    <row r="7" spans="1:35" x14ac:dyDescent="0.25">
      <c r="A7" s="6" t="s">
        <v>289</v>
      </c>
      <c r="B7" s="2">
        <v>6</v>
      </c>
      <c r="C7" s="2" t="s">
        <v>241</v>
      </c>
      <c r="D7" s="3">
        <v>0</v>
      </c>
      <c r="E7" s="3">
        <v>1118</v>
      </c>
      <c r="F7" s="3">
        <v>0</v>
      </c>
      <c r="G7" s="3">
        <v>757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376</v>
      </c>
      <c r="S7" s="3">
        <v>249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30450</v>
      </c>
      <c r="AA7" s="3">
        <v>0</v>
      </c>
      <c r="AB7" s="3">
        <v>0</v>
      </c>
      <c r="AC7" s="3">
        <v>1562</v>
      </c>
      <c r="AD7" s="13">
        <f t="shared" si="0"/>
        <v>2500</v>
      </c>
      <c r="AE7" s="13">
        <f t="shared" si="1"/>
        <v>1562</v>
      </c>
      <c r="AF7" s="13">
        <f t="shared" si="2"/>
        <v>30450</v>
      </c>
      <c r="AG7" s="13">
        <f t="shared" si="3"/>
        <v>29565</v>
      </c>
      <c r="AH7" s="13">
        <f t="shared" si="4"/>
        <v>12767</v>
      </c>
      <c r="AI7" s="13">
        <f t="shared" si="5"/>
        <v>72295</v>
      </c>
    </row>
    <row r="8" spans="1:35" x14ac:dyDescent="0.25">
      <c r="A8" s="6" t="s">
        <v>289</v>
      </c>
      <c r="B8" s="2">
        <v>7</v>
      </c>
      <c r="C8" s="2" t="s">
        <v>242</v>
      </c>
      <c r="D8" s="3">
        <v>0</v>
      </c>
      <c r="E8" s="3">
        <v>952</v>
      </c>
      <c r="F8" s="3">
        <v>0</v>
      </c>
      <c r="G8" s="3">
        <v>2907</v>
      </c>
      <c r="H8" s="3">
        <v>0</v>
      </c>
      <c r="I8" s="3">
        <v>0</v>
      </c>
      <c r="J8" s="3">
        <v>0</v>
      </c>
      <c r="K8" s="3">
        <v>0</v>
      </c>
      <c r="L8" s="3">
        <v>40501</v>
      </c>
      <c r="M8" s="3">
        <v>0</v>
      </c>
      <c r="N8" s="3">
        <v>12</v>
      </c>
      <c r="O8" s="3">
        <v>0</v>
      </c>
      <c r="P8" s="3">
        <v>0</v>
      </c>
      <c r="Q8" s="3">
        <v>0</v>
      </c>
      <c r="R8" s="3">
        <v>573</v>
      </c>
      <c r="S8" s="3">
        <v>380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21400</v>
      </c>
      <c r="AA8" s="3">
        <v>0</v>
      </c>
      <c r="AB8" s="3">
        <v>0</v>
      </c>
      <c r="AC8" s="3">
        <v>2506</v>
      </c>
      <c r="AD8" s="13">
        <f t="shared" si="0"/>
        <v>4824</v>
      </c>
      <c r="AE8" s="13">
        <f t="shared" si="1"/>
        <v>2506</v>
      </c>
      <c r="AF8" s="13">
        <f t="shared" si="2"/>
        <v>61901</v>
      </c>
      <c r="AG8" s="13">
        <f t="shared" si="3"/>
        <v>34389</v>
      </c>
      <c r="AH8" s="13">
        <f t="shared" si="4"/>
        <v>15273</v>
      </c>
      <c r="AI8" s="13">
        <f t="shared" si="5"/>
        <v>134196</v>
      </c>
    </row>
    <row r="9" spans="1:35" x14ac:dyDescent="0.25">
      <c r="A9" s="6" t="s">
        <v>289</v>
      </c>
      <c r="B9" s="2">
        <v>8</v>
      </c>
      <c r="C9" s="2" t="s">
        <v>243</v>
      </c>
      <c r="D9" s="3">
        <v>0</v>
      </c>
      <c r="E9" s="3">
        <v>849</v>
      </c>
      <c r="F9" s="3">
        <v>0</v>
      </c>
      <c r="G9" s="3">
        <v>1862</v>
      </c>
      <c r="H9" s="3">
        <v>0</v>
      </c>
      <c r="I9" s="3">
        <v>0</v>
      </c>
      <c r="J9" s="3">
        <v>0</v>
      </c>
      <c r="K9" s="3">
        <v>0</v>
      </c>
      <c r="L9" s="3">
        <v>12942</v>
      </c>
      <c r="M9" s="3">
        <v>0</v>
      </c>
      <c r="N9" s="3">
        <v>11</v>
      </c>
      <c r="O9" s="3">
        <v>0</v>
      </c>
      <c r="P9" s="3">
        <v>0</v>
      </c>
      <c r="Q9" s="3">
        <v>0</v>
      </c>
      <c r="R9" s="3">
        <v>508</v>
      </c>
      <c r="S9" s="3">
        <v>932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32088</v>
      </c>
      <c r="AA9" s="3">
        <v>0</v>
      </c>
      <c r="AB9" s="3">
        <v>0</v>
      </c>
      <c r="AC9" s="3">
        <v>3169</v>
      </c>
      <c r="AD9" s="13">
        <f t="shared" si="0"/>
        <v>4162</v>
      </c>
      <c r="AE9" s="13">
        <f t="shared" si="1"/>
        <v>3169</v>
      </c>
      <c r="AF9" s="13">
        <f t="shared" si="2"/>
        <v>45030</v>
      </c>
      <c r="AG9" s="13">
        <f t="shared" si="3"/>
        <v>38551</v>
      </c>
      <c r="AH9" s="13">
        <f t="shared" si="4"/>
        <v>18442</v>
      </c>
      <c r="AI9" s="13">
        <f t="shared" si="5"/>
        <v>179226</v>
      </c>
    </row>
    <row r="10" spans="1:35" x14ac:dyDescent="0.25">
      <c r="A10" s="6" t="s">
        <v>289</v>
      </c>
      <c r="B10" s="2">
        <v>9</v>
      </c>
      <c r="C10" s="2" t="s">
        <v>244</v>
      </c>
      <c r="D10" s="3">
        <v>0</v>
      </c>
      <c r="E10" s="3">
        <v>1655</v>
      </c>
      <c r="F10" s="3">
        <v>0</v>
      </c>
      <c r="G10" s="3">
        <v>1633</v>
      </c>
      <c r="H10" s="3">
        <v>0</v>
      </c>
      <c r="I10" s="3">
        <v>0</v>
      </c>
      <c r="J10" s="3">
        <v>0</v>
      </c>
      <c r="K10" s="3">
        <v>44775</v>
      </c>
      <c r="L10" s="3">
        <v>16475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834</v>
      </c>
      <c r="S10" s="3">
        <v>5563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22512</v>
      </c>
      <c r="AA10" s="3">
        <v>0</v>
      </c>
      <c r="AB10" s="3">
        <v>0</v>
      </c>
      <c r="AC10" s="3">
        <v>2655</v>
      </c>
      <c r="AD10" s="13">
        <f t="shared" si="0"/>
        <v>9685</v>
      </c>
      <c r="AE10" s="13">
        <f t="shared" si="1"/>
        <v>2655</v>
      </c>
      <c r="AF10" s="13">
        <f t="shared" si="2"/>
        <v>83762</v>
      </c>
      <c r="AG10" s="13">
        <f t="shared" si="3"/>
        <v>48236</v>
      </c>
      <c r="AH10" s="13">
        <f t="shared" si="4"/>
        <v>21097</v>
      </c>
      <c r="AI10" s="13">
        <f t="shared" si="5"/>
        <v>262988</v>
      </c>
    </row>
    <row r="11" spans="1:35" x14ac:dyDescent="0.25">
      <c r="A11" s="6" t="s">
        <v>289</v>
      </c>
      <c r="B11" s="2">
        <v>10</v>
      </c>
      <c r="C11" s="2" t="s">
        <v>245</v>
      </c>
      <c r="D11" s="3">
        <v>0</v>
      </c>
      <c r="E11" s="3">
        <v>1237</v>
      </c>
      <c r="F11" s="3">
        <v>0</v>
      </c>
      <c r="G11" s="3">
        <v>1669</v>
      </c>
      <c r="H11" s="3">
        <v>0</v>
      </c>
      <c r="I11" s="3">
        <v>0</v>
      </c>
      <c r="J11" s="3">
        <v>0</v>
      </c>
      <c r="K11" s="3">
        <v>7695</v>
      </c>
      <c r="L11" s="3">
        <v>22125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166</v>
      </c>
      <c r="S11" s="3">
        <v>1355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52489</v>
      </c>
      <c r="AA11" s="3">
        <v>0</v>
      </c>
      <c r="AB11" s="3">
        <v>0</v>
      </c>
      <c r="AC11" s="3">
        <v>966</v>
      </c>
      <c r="AD11" s="13">
        <f t="shared" si="0"/>
        <v>4427</v>
      </c>
      <c r="AE11" s="13">
        <f t="shared" si="1"/>
        <v>966</v>
      </c>
      <c r="AF11" s="13">
        <f t="shared" si="2"/>
        <v>82309</v>
      </c>
      <c r="AG11" s="13">
        <f t="shared" si="3"/>
        <v>52663</v>
      </c>
      <c r="AH11" s="13">
        <f t="shared" si="4"/>
        <v>22063</v>
      </c>
      <c r="AI11" s="13">
        <f t="shared" si="5"/>
        <v>345297</v>
      </c>
    </row>
    <row r="12" spans="1:35" x14ac:dyDescent="0.25">
      <c r="A12" s="6" t="s">
        <v>289</v>
      </c>
      <c r="B12" s="2">
        <v>11</v>
      </c>
      <c r="C12" s="2" t="s">
        <v>246</v>
      </c>
      <c r="D12" s="3">
        <v>0</v>
      </c>
      <c r="E12" s="3">
        <v>364</v>
      </c>
      <c r="F12" s="3">
        <v>0</v>
      </c>
      <c r="G12" s="3">
        <v>2025</v>
      </c>
      <c r="H12" s="3">
        <v>0</v>
      </c>
      <c r="I12" s="3">
        <v>0</v>
      </c>
      <c r="J12" s="3">
        <v>0</v>
      </c>
      <c r="K12" s="3">
        <v>0</v>
      </c>
      <c r="L12" s="3">
        <v>38182</v>
      </c>
      <c r="M12" s="3">
        <v>0</v>
      </c>
      <c r="N12" s="3">
        <v>30</v>
      </c>
      <c r="O12" s="3">
        <v>0</v>
      </c>
      <c r="P12" s="3">
        <v>0</v>
      </c>
      <c r="Q12" s="3">
        <v>0</v>
      </c>
      <c r="R12" s="3">
        <v>313</v>
      </c>
      <c r="S12" s="3">
        <v>1043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41491</v>
      </c>
      <c r="AA12" s="3">
        <v>0</v>
      </c>
      <c r="AB12" s="3">
        <v>0</v>
      </c>
      <c r="AC12" s="3">
        <v>454</v>
      </c>
      <c r="AD12" s="13">
        <f t="shared" si="0"/>
        <v>3775</v>
      </c>
      <c r="AE12" s="13">
        <f t="shared" si="1"/>
        <v>454</v>
      </c>
      <c r="AF12" s="13">
        <f t="shared" si="2"/>
        <v>79673</v>
      </c>
      <c r="AG12" s="13">
        <f t="shared" si="3"/>
        <v>56438</v>
      </c>
      <c r="AH12" s="13">
        <f t="shared" si="4"/>
        <v>22517</v>
      </c>
      <c r="AI12" s="13">
        <f t="shared" si="5"/>
        <v>424970</v>
      </c>
    </row>
    <row r="13" spans="1:35" x14ac:dyDescent="0.25">
      <c r="A13" s="6" t="s">
        <v>289</v>
      </c>
      <c r="B13" s="2">
        <v>12</v>
      </c>
      <c r="C13" s="2" t="s">
        <v>247</v>
      </c>
      <c r="D13" s="3">
        <v>0</v>
      </c>
      <c r="E13" s="3">
        <v>797</v>
      </c>
      <c r="F13" s="3">
        <v>0</v>
      </c>
      <c r="G13" s="3">
        <v>1688</v>
      </c>
      <c r="H13" s="3">
        <v>0</v>
      </c>
      <c r="I13" s="3">
        <v>0</v>
      </c>
      <c r="J13" s="3">
        <v>0</v>
      </c>
      <c r="K13" s="3">
        <v>10719</v>
      </c>
      <c r="L13" s="3">
        <v>31686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880</v>
      </c>
      <c r="S13" s="3">
        <v>163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13109</v>
      </c>
      <c r="AA13" s="3">
        <v>44365</v>
      </c>
      <c r="AB13" s="3">
        <v>0</v>
      </c>
      <c r="AC13" s="3">
        <v>134</v>
      </c>
      <c r="AD13" s="13">
        <f t="shared" si="0"/>
        <v>3528</v>
      </c>
      <c r="AE13" s="13">
        <f t="shared" si="1"/>
        <v>134</v>
      </c>
      <c r="AF13" s="13">
        <f t="shared" si="2"/>
        <v>99879</v>
      </c>
      <c r="AG13" s="13">
        <f t="shared" si="3"/>
        <v>59966</v>
      </c>
      <c r="AH13" s="13">
        <f t="shared" si="4"/>
        <v>22651</v>
      </c>
      <c r="AI13" s="13">
        <f t="shared" si="5"/>
        <v>524849</v>
      </c>
    </row>
    <row r="14" spans="1:35" x14ac:dyDescent="0.25">
      <c r="A14" s="6" t="s">
        <v>289</v>
      </c>
      <c r="B14" s="2">
        <v>13</v>
      </c>
      <c r="C14" s="2" t="s">
        <v>248</v>
      </c>
      <c r="D14" s="3">
        <v>0</v>
      </c>
      <c r="E14" s="3">
        <v>607</v>
      </c>
      <c r="F14" s="3">
        <v>0</v>
      </c>
      <c r="G14" s="3">
        <v>1829</v>
      </c>
      <c r="H14" s="3">
        <v>0</v>
      </c>
      <c r="I14" s="3">
        <v>0</v>
      </c>
      <c r="J14" s="3">
        <v>0</v>
      </c>
      <c r="K14" s="3">
        <v>39311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1280</v>
      </c>
      <c r="S14" s="3">
        <v>538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56118</v>
      </c>
      <c r="AA14" s="3">
        <v>10303</v>
      </c>
      <c r="AB14" s="3">
        <v>0</v>
      </c>
      <c r="AC14" s="3">
        <v>894</v>
      </c>
      <c r="AD14" s="13">
        <f t="shared" si="0"/>
        <v>4254</v>
      </c>
      <c r="AE14" s="13">
        <f t="shared" si="1"/>
        <v>894</v>
      </c>
      <c r="AF14" s="13">
        <f t="shared" si="2"/>
        <v>105732</v>
      </c>
      <c r="AG14" s="13">
        <f t="shared" si="3"/>
        <v>64220</v>
      </c>
      <c r="AH14" s="13">
        <f t="shared" si="4"/>
        <v>23545</v>
      </c>
      <c r="AI14" s="13">
        <f t="shared" si="5"/>
        <v>630581</v>
      </c>
    </row>
    <row r="15" spans="1:35" x14ac:dyDescent="0.25">
      <c r="A15" s="6" t="s">
        <v>289</v>
      </c>
      <c r="B15" s="2">
        <v>14</v>
      </c>
      <c r="C15" s="2" t="s">
        <v>249</v>
      </c>
      <c r="D15" s="3">
        <v>0</v>
      </c>
      <c r="E15" s="3">
        <v>2482</v>
      </c>
      <c r="F15" s="3">
        <v>0</v>
      </c>
      <c r="G15" s="3">
        <v>2643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482</v>
      </c>
      <c r="O15" s="3">
        <v>0</v>
      </c>
      <c r="P15" s="3">
        <v>0</v>
      </c>
      <c r="Q15" s="3">
        <v>0</v>
      </c>
      <c r="R15" s="3">
        <v>1486</v>
      </c>
      <c r="S15" s="3">
        <v>4687</v>
      </c>
      <c r="T15" s="3">
        <v>0</v>
      </c>
      <c r="U15" s="3">
        <v>0</v>
      </c>
      <c r="V15" s="3">
        <v>0</v>
      </c>
      <c r="W15" s="3">
        <v>264</v>
      </c>
      <c r="X15" s="3">
        <v>0</v>
      </c>
      <c r="Y15" s="3">
        <v>0</v>
      </c>
      <c r="Z15" s="3">
        <v>44641</v>
      </c>
      <c r="AA15" s="3">
        <v>0</v>
      </c>
      <c r="AB15" s="3">
        <v>0</v>
      </c>
      <c r="AC15" s="3">
        <v>1058</v>
      </c>
      <c r="AD15" s="13">
        <f t="shared" si="0"/>
        <v>11780</v>
      </c>
      <c r="AE15" s="13">
        <f t="shared" si="1"/>
        <v>1058</v>
      </c>
      <c r="AF15" s="13">
        <f t="shared" si="2"/>
        <v>44905</v>
      </c>
      <c r="AG15" s="13">
        <f t="shared" si="3"/>
        <v>76000</v>
      </c>
      <c r="AH15" s="13">
        <f t="shared" si="4"/>
        <v>24603</v>
      </c>
      <c r="AI15" s="13">
        <f t="shared" si="5"/>
        <v>675486</v>
      </c>
    </row>
    <row r="16" spans="1:35" x14ac:dyDescent="0.25">
      <c r="A16" s="6" t="s">
        <v>289</v>
      </c>
      <c r="B16" s="2">
        <v>15</v>
      </c>
      <c r="C16" s="2" t="s">
        <v>250</v>
      </c>
      <c r="D16" s="3">
        <v>0</v>
      </c>
      <c r="E16" s="3">
        <v>1224</v>
      </c>
      <c r="F16" s="3">
        <v>0</v>
      </c>
      <c r="G16" s="3">
        <v>1990</v>
      </c>
      <c r="H16" s="3">
        <v>0</v>
      </c>
      <c r="I16" s="3">
        <v>0</v>
      </c>
      <c r="J16" s="3">
        <v>0</v>
      </c>
      <c r="K16" s="3">
        <v>0</v>
      </c>
      <c r="L16" s="3">
        <v>54094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1493</v>
      </c>
      <c r="S16" s="3">
        <v>1120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8891</v>
      </c>
      <c r="AA16" s="3">
        <v>0</v>
      </c>
      <c r="AB16" s="3">
        <v>0</v>
      </c>
      <c r="AC16" s="3">
        <v>984</v>
      </c>
      <c r="AD16" s="13">
        <f t="shared" si="0"/>
        <v>5827</v>
      </c>
      <c r="AE16" s="13">
        <f t="shared" si="1"/>
        <v>984</v>
      </c>
      <c r="AF16" s="13">
        <f t="shared" si="2"/>
        <v>62985</v>
      </c>
      <c r="AG16" s="13">
        <f t="shared" si="3"/>
        <v>81827</v>
      </c>
      <c r="AH16" s="13">
        <f t="shared" si="4"/>
        <v>25587</v>
      </c>
      <c r="AI16" s="13">
        <f t="shared" si="5"/>
        <v>738471</v>
      </c>
    </row>
    <row r="17" spans="1:35" x14ac:dyDescent="0.25">
      <c r="A17" s="6" t="s">
        <v>289</v>
      </c>
      <c r="B17" s="2">
        <v>16</v>
      </c>
      <c r="C17" s="2" t="s">
        <v>251</v>
      </c>
      <c r="D17" s="3">
        <v>0</v>
      </c>
      <c r="E17" s="3">
        <v>386</v>
      </c>
      <c r="F17" s="3">
        <v>0</v>
      </c>
      <c r="G17" s="3">
        <v>2186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1362</v>
      </c>
      <c r="S17" s="3">
        <v>1213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1090</v>
      </c>
      <c r="AD17" s="13">
        <f t="shared" si="0"/>
        <v>5147</v>
      </c>
      <c r="AE17" s="13">
        <f t="shared" si="1"/>
        <v>1090</v>
      </c>
      <c r="AF17" s="13">
        <f t="shared" si="2"/>
        <v>0</v>
      </c>
      <c r="AG17" s="13">
        <f t="shared" si="3"/>
        <v>86974</v>
      </c>
      <c r="AH17" s="13">
        <f t="shared" si="4"/>
        <v>26677</v>
      </c>
      <c r="AI17" s="13">
        <f t="shared" si="5"/>
        <v>738471</v>
      </c>
    </row>
    <row r="18" spans="1:35" x14ac:dyDescent="0.25">
      <c r="A18" s="6" t="s">
        <v>289</v>
      </c>
      <c r="B18" s="2">
        <v>17</v>
      </c>
      <c r="C18" s="2" t="s">
        <v>252</v>
      </c>
      <c r="D18" s="3">
        <v>0</v>
      </c>
      <c r="E18" s="3">
        <v>387</v>
      </c>
      <c r="F18" s="3">
        <v>0</v>
      </c>
      <c r="G18" s="3">
        <v>1142</v>
      </c>
      <c r="H18" s="3">
        <v>0</v>
      </c>
      <c r="I18" s="3">
        <v>0</v>
      </c>
      <c r="J18" s="3">
        <v>0</v>
      </c>
      <c r="K18" s="3">
        <v>15776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1091</v>
      </c>
      <c r="S18" s="3">
        <v>1257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1851</v>
      </c>
      <c r="AD18" s="13">
        <f t="shared" si="0"/>
        <v>3877</v>
      </c>
      <c r="AE18" s="13">
        <f t="shared" si="1"/>
        <v>1851</v>
      </c>
      <c r="AF18" s="13">
        <f t="shared" si="2"/>
        <v>15776</v>
      </c>
      <c r="AG18" s="13">
        <f t="shared" si="3"/>
        <v>90851</v>
      </c>
      <c r="AH18" s="13">
        <f t="shared" si="4"/>
        <v>28528</v>
      </c>
      <c r="AI18" s="13">
        <f t="shared" si="5"/>
        <v>754247</v>
      </c>
    </row>
    <row r="19" spans="1:35" x14ac:dyDescent="0.25">
      <c r="A19" s="6" t="s">
        <v>289</v>
      </c>
      <c r="B19" s="2">
        <v>18</v>
      </c>
      <c r="C19" s="2" t="s">
        <v>253</v>
      </c>
      <c r="D19" s="3">
        <v>0</v>
      </c>
      <c r="E19" s="3">
        <v>752</v>
      </c>
      <c r="F19" s="3">
        <v>0</v>
      </c>
      <c r="G19" s="3">
        <v>1725</v>
      </c>
      <c r="H19" s="3">
        <v>0</v>
      </c>
      <c r="I19" s="3">
        <v>0</v>
      </c>
      <c r="J19" s="3">
        <v>0</v>
      </c>
      <c r="K19" s="3">
        <v>34334</v>
      </c>
      <c r="L19" s="3">
        <v>0</v>
      </c>
      <c r="M19" s="3">
        <v>0</v>
      </c>
      <c r="N19" s="3">
        <v>572</v>
      </c>
      <c r="O19" s="3">
        <v>0</v>
      </c>
      <c r="P19" s="3">
        <v>0</v>
      </c>
      <c r="Q19" s="3">
        <v>0</v>
      </c>
      <c r="R19" s="3">
        <v>1080</v>
      </c>
      <c r="S19" s="3">
        <v>1885</v>
      </c>
      <c r="T19" s="3">
        <v>0</v>
      </c>
      <c r="U19" s="3">
        <v>0</v>
      </c>
      <c r="V19" s="3">
        <v>0</v>
      </c>
      <c r="W19" s="3">
        <v>254</v>
      </c>
      <c r="X19" s="3">
        <v>0</v>
      </c>
      <c r="Y19" s="3">
        <v>0</v>
      </c>
      <c r="Z19" s="3">
        <v>0</v>
      </c>
      <c r="AA19" s="3">
        <v>27871</v>
      </c>
      <c r="AB19" s="3">
        <v>0</v>
      </c>
      <c r="AC19" s="3">
        <v>969</v>
      </c>
      <c r="AD19" s="13">
        <f t="shared" si="0"/>
        <v>6014</v>
      </c>
      <c r="AE19" s="13">
        <f t="shared" si="1"/>
        <v>969</v>
      </c>
      <c r="AF19" s="13">
        <f t="shared" si="2"/>
        <v>62459</v>
      </c>
      <c r="AG19" s="13">
        <f t="shared" si="3"/>
        <v>96865</v>
      </c>
      <c r="AH19" s="13">
        <f t="shared" si="4"/>
        <v>29497</v>
      </c>
      <c r="AI19" s="13">
        <f t="shared" si="5"/>
        <v>816706</v>
      </c>
    </row>
    <row r="20" spans="1:35" x14ac:dyDescent="0.25">
      <c r="A20" s="6" t="s">
        <v>289</v>
      </c>
      <c r="B20" s="2">
        <v>19</v>
      </c>
      <c r="C20" s="2" t="s">
        <v>254</v>
      </c>
      <c r="D20" s="3">
        <v>0</v>
      </c>
      <c r="E20" s="3">
        <v>770</v>
      </c>
      <c r="F20" s="3">
        <v>0</v>
      </c>
      <c r="G20" s="3">
        <v>2771</v>
      </c>
      <c r="H20" s="3">
        <v>0</v>
      </c>
      <c r="I20" s="3">
        <v>0</v>
      </c>
      <c r="J20" s="3">
        <v>0</v>
      </c>
      <c r="K20" s="3">
        <v>0</v>
      </c>
      <c r="L20" s="3">
        <v>4701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1469</v>
      </c>
      <c r="S20" s="3">
        <v>707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23529</v>
      </c>
      <c r="AB20" s="3">
        <v>0</v>
      </c>
      <c r="AC20" s="3">
        <v>2126</v>
      </c>
      <c r="AD20" s="13">
        <f t="shared" si="0"/>
        <v>5717</v>
      </c>
      <c r="AE20" s="13">
        <f t="shared" si="1"/>
        <v>2126</v>
      </c>
      <c r="AF20" s="13">
        <f t="shared" si="2"/>
        <v>28230</v>
      </c>
      <c r="AG20" s="13">
        <f t="shared" si="3"/>
        <v>102582</v>
      </c>
      <c r="AH20" s="13">
        <f t="shared" si="4"/>
        <v>31623</v>
      </c>
      <c r="AI20" s="13">
        <f t="shared" si="5"/>
        <v>844936</v>
      </c>
    </row>
    <row r="21" spans="1:35" x14ac:dyDescent="0.25">
      <c r="A21" s="6" t="s">
        <v>289</v>
      </c>
      <c r="B21" s="2">
        <v>20</v>
      </c>
      <c r="C21" s="2" t="s">
        <v>255</v>
      </c>
      <c r="D21" s="3">
        <v>0</v>
      </c>
      <c r="E21" s="3">
        <v>666</v>
      </c>
      <c r="F21" s="3">
        <v>0</v>
      </c>
      <c r="G21" s="3">
        <v>2746</v>
      </c>
      <c r="H21" s="3">
        <v>0</v>
      </c>
      <c r="I21" s="3">
        <v>0</v>
      </c>
      <c r="J21" s="3">
        <v>0</v>
      </c>
      <c r="K21" s="3">
        <v>0</v>
      </c>
      <c r="L21" s="3">
        <v>88323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1764</v>
      </c>
      <c r="S21" s="3">
        <v>1216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2015</v>
      </c>
      <c r="AD21" s="13">
        <f t="shared" si="0"/>
        <v>6392</v>
      </c>
      <c r="AE21" s="13">
        <f t="shared" si="1"/>
        <v>2015</v>
      </c>
      <c r="AF21" s="13">
        <f t="shared" si="2"/>
        <v>88323</v>
      </c>
      <c r="AG21" s="13">
        <f t="shared" si="3"/>
        <v>108974</v>
      </c>
      <c r="AH21" s="13">
        <f t="shared" si="4"/>
        <v>33638</v>
      </c>
      <c r="AI21" s="13">
        <f t="shared" si="5"/>
        <v>933259</v>
      </c>
    </row>
    <row r="22" spans="1:35" x14ac:dyDescent="0.25">
      <c r="A22" s="6" t="s">
        <v>289</v>
      </c>
      <c r="B22" s="2">
        <v>21</v>
      </c>
      <c r="C22" s="2" t="s">
        <v>256</v>
      </c>
      <c r="D22" s="3">
        <v>0</v>
      </c>
      <c r="E22" s="3">
        <v>474</v>
      </c>
      <c r="F22" s="3">
        <v>0</v>
      </c>
      <c r="G22" s="3">
        <v>2228</v>
      </c>
      <c r="H22" s="3">
        <v>0</v>
      </c>
      <c r="I22" s="3">
        <v>0</v>
      </c>
      <c r="J22" s="3">
        <v>0</v>
      </c>
      <c r="K22" s="3">
        <v>0</v>
      </c>
      <c r="L22" s="3">
        <v>12751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884</v>
      </c>
      <c r="S22" s="3">
        <v>1468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2100</v>
      </c>
      <c r="AD22" s="13">
        <f t="shared" si="0"/>
        <v>5054</v>
      </c>
      <c r="AE22" s="13">
        <f t="shared" si="1"/>
        <v>2100</v>
      </c>
      <c r="AF22" s="13">
        <f t="shared" si="2"/>
        <v>12751</v>
      </c>
      <c r="AG22" s="13">
        <f t="shared" si="3"/>
        <v>114028</v>
      </c>
      <c r="AH22" s="13">
        <f t="shared" si="4"/>
        <v>35738</v>
      </c>
      <c r="AI22" s="13">
        <f t="shared" si="5"/>
        <v>946010</v>
      </c>
    </row>
    <row r="23" spans="1:35" x14ac:dyDescent="0.25">
      <c r="A23" s="6" t="s">
        <v>289</v>
      </c>
      <c r="B23" s="2">
        <v>22</v>
      </c>
      <c r="C23" s="2" t="s">
        <v>257</v>
      </c>
      <c r="D23" s="3">
        <v>0</v>
      </c>
      <c r="E23" s="3">
        <v>704</v>
      </c>
      <c r="F23" s="3">
        <v>0</v>
      </c>
      <c r="G23" s="3">
        <v>3656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511</v>
      </c>
      <c r="S23" s="3">
        <v>1197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4243</v>
      </c>
      <c r="AD23" s="13">
        <f t="shared" si="0"/>
        <v>6068</v>
      </c>
      <c r="AE23" s="13">
        <f t="shared" si="1"/>
        <v>4243</v>
      </c>
      <c r="AF23" s="13">
        <f t="shared" si="2"/>
        <v>0</v>
      </c>
      <c r="AG23" s="13">
        <f t="shared" si="3"/>
        <v>120096</v>
      </c>
      <c r="AH23" s="13">
        <f t="shared" si="4"/>
        <v>39981</v>
      </c>
      <c r="AI23" s="13">
        <f t="shared" si="5"/>
        <v>946010</v>
      </c>
    </row>
    <row r="24" spans="1:35" x14ac:dyDescent="0.25">
      <c r="A24" s="6" t="s">
        <v>289</v>
      </c>
      <c r="B24" s="2">
        <v>23</v>
      </c>
      <c r="C24" s="2" t="s">
        <v>258</v>
      </c>
      <c r="D24" s="3">
        <v>0</v>
      </c>
      <c r="E24" s="3">
        <v>320</v>
      </c>
      <c r="F24" s="3">
        <v>0</v>
      </c>
      <c r="G24" s="3">
        <v>1304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917</v>
      </c>
      <c r="S24" s="3">
        <v>1376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2286</v>
      </c>
      <c r="AD24" s="13">
        <f t="shared" si="0"/>
        <v>3917</v>
      </c>
      <c r="AE24" s="13">
        <f t="shared" si="1"/>
        <v>2286</v>
      </c>
      <c r="AF24" s="13">
        <f t="shared" si="2"/>
        <v>0</v>
      </c>
      <c r="AG24" s="13">
        <f t="shared" si="3"/>
        <v>124013</v>
      </c>
      <c r="AH24" s="13">
        <f t="shared" si="4"/>
        <v>42267</v>
      </c>
      <c r="AI24" s="13">
        <f t="shared" si="5"/>
        <v>946010</v>
      </c>
    </row>
    <row r="25" spans="1:35" x14ac:dyDescent="0.25">
      <c r="A25" s="6" t="s">
        <v>289</v>
      </c>
      <c r="B25" s="2">
        <v>24</v>
      </c>
      <c r="C25" s="2" t="s">
        <v>259</v>
      </c>
      <c r="D25" s="3">
        <v>0</v>
      </c>
      <c r="E25" s="3">
        <v>723</v>
      </c>
      <c r="F25" s="3">
        <v>0</v>
      </c>
      <c r="G25" s="3">
        <v>1676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1422</v>
      </c>
      <c r="S25" s="3">
        <v>1071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2787</v>
      </c>
      <c r="AD25" s="13">
        <f t="shared" si="0"/>
        <v>4892</v>
      </c>
      <c r="AE25" s="13">
        <f t="shared" si="1"/>
        <v>2787</v>
      </c>
      <c r="AF25" s="13">
        <f t="shared" si="2"/>
        <v>0</v>
      </c>
      <c r="AG25" s="13">
        <f t="shared" si="3"/>
        <v>128905</v>
      </c>
      <c r="AH25" s="13">
        <f t="shared" si="4"/>
        <v>45054</v>
      </c>
      <c r="AI25" s="13">
        <f t="shared" si="5"/>
        <v>946010</v>
      </c>
    </row>
    <row r="26" spans="1:35" x14ac:dyDescent="0.25">
      <c r="A26" s="6" t="s">
        <v>289</v>
      </c>
      <c r="B26" s="2">
        <v>25</v>
      </c>
      <c r="C26" s="2" t="s">
        <v>260</v>
      </c>
      <c r="D26" s="3">
        <v>0</v>
      </c>
      <c r="E26" s="3">
        <v>542</v>
      </c>
      <c r="F26" s="3">
        <v>0</v>
      </c>
      <c r="G26" s="3">
        <v>2913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1629</v>
      </c>
      <c r="S26" s="3">
        <v>196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2733</v>
      </c>
      <c r="AD26" s="13">
        <f t="shared" si="0"/>
        <v>5280</v>
      </c>
      <c r="AE26" s="13">
        <f t="shared" si="1"/>
        <v>2733</v>
      </c>
      <c r="AF26" s="13">
        <f t="shared" si="2"/>
        <v>0</v>
      </c>
      <c r="AG26" s="13">
        <f t="shared" si="3"/>
        <v>134185</v>
      </c>
      <c r="AH26" s="13">
        <f t="shared" si="4"/>
        <v>47787</v>
      </c>
      <c r="AI26" s="13">
        <f t="shared" si="5"/>
        <v>946010</v>
      </c>
    </row>
    <row r="27" spans="1:35" x14ac:dyDescent="0.25">
      <c r="A27" s="6" t="s">
        <v>289</v>
      </c>
      <c r="B27" s="2">
        <v>26</v>
      </c>
      <c r="C27" s="2" t="s">
        <v>261</v>
      </c>
      <c r="D27" s="3">
        <v>0</v>
      </c>
      <c r="E27" s="3">
        <v>439</v>
      </c>
      <c r="F27" s="3">
        <v>0</v>
      </c>
      <c r="G27" s="3">
        <v>2822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1429</v>
      </c>
      <c r="S27" s="3">
        <v>984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3398</v>
      </c>
      <c r="AD27" s="13">
        <f t="shared" si="0"/>
        <v>5674</v>
      </c>
      <c r="AE27" s="13">
        <f t="shared" si="1"/>
        <v>3398</v>
      </c>
      <c r="AF27" s="13">
        <f t="shared" si="2"/>
        <v>0</v>
      </c>
      <c r="AG27" s="13">
        <f t="shared" si="3"/>
        <v>139859</v>
      </c>
      <c r="AH27" s="13">
        <f t="shared" si="4"/>
        <v>51185</v>
      </c>
      <c r="AI27" s="13">
        <f t="shared" si="5"/>
        <v>946010</v>
      </c>
    </row>
    <row r="28" spans="1:35" x14ac:dyDescent="0.25">
      <c r="A28" s="6" t="s">
        <v>289</v>
      </c>
      <c r="B28" s="2">
        <v>27</v>
      </c>
      <c r="C28" s="2" t="s">
        <v>262</v>
      </c>
      <c r="D28" s="3">
        <v>0</v>
      </c>
      <c r="E28" s="3">
        <v>997</v>
      </c>
      <c r="F28" s="3">
        <v>0</v>
      </c>
      <c r="G28" s="3">
        <v>2834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1348</v>
      </c>
      <c r="S28" s="3">
        <v>1537</v>
      </c>
      <c r="T28" s="3">
        <v>0</v>
      </c>
      <c r="U28" s="3">
        <v>0</v>
      </c>
      <c r="V28" s="3">
        <v>0</v>
      </c>
      <c r="W28" s="3">
        <v>262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4807</v>
      </c>
      <c r="AD28" s="13">
        <f t="shared" si="0"/>
        <v>6716</v>
      </c>
      <c r="AE28" s="13">
        <f t="shared" si="1"/>
        <v>4807</v>
      </c>
      <c r="AF28" s="13">
        <f t="shared" si="2"/>
        <v>262</v>
      </c>
      <c r="AG28" s="13">
        <f t="shared" si="3"/>
        <v>146575</v>
      </c>
      <c r="AH28" s="13">
        <f t="shared" si="4"/>
        <v>55992</v>
      </c>
      <c r="AI28" s="13">
        <f t="shared" si="5"/>
        <v>946272</v>
      </c>
    </row>
    <row r="29" spans="1:35" x14ac:dyDescent="0.25">
      <c r="A29" s="6" t="s">
        <v>289</v>
      </c>
      <c r="B29" s="2">
        <v>28</v>
      </c>
      <c r="C29" s="2" t="s">
        <v>263</v>
      </c>
      <c r="D29" s="3">
        <v>0</v>
      </c>
      <c r="E29" s="3">
        <v>778</v>
      </c>
      <c r="F29" s="3">
        <v>0</v>
      </c>
      <c r="G29" s="3">
        <v>2556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780</v>
      </c>
      <c r="S29" s="3">
        <v>1339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2977</v>
      </c>
      <c r="AD29" s="13">
        <f t="shared" si="0"/>
        <v>5453</v>
      </c>
      <c r="AE29" s="13">
        <f t="shared" si="1"/>
        <v>2977</v>
      </c>
      <c r="AF29" s="13">
        <f t="shared" si="2"/>
        <v>0</v>
      </c>
      <c r="AG29" s="13">
        <f t="shared" si="3"/>
        <v>152028</v>
      </c>
      <c r="AH29" s="13">
        <f t="shared" si="4"/>
        <v>58969</v>
      </c>
      <c r="AI29" s="13">
        <f t="shared" si="5"/>
        <v>946272</v>
      </c>
    </row>
    <row r="30" spans="1:35" x14ac:dyDescent="0.25">
      <c r="A30" s="6" t="s">
        <v>289</v>
      </c>
      <c r="B30" s="2">
        <v>29</v>
      </c>
      <c r="C30" s="2" t="s">
        <v>264</v>
      </c>
      <c r="D30" s="3">
        <v>0</v>
      </c>
      <c r="E30" s="3">
        <v>294</v>
      </c>
      <c r="F30" s="3">
        <v>0</v>
      </c>
      <c r="G30" s="3">
        <v>2420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1011</v>
      </c>
      <c r="S30" s="3">
        <v>1176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3348</v>
      </c>
      <c r="AD30" s="13">
        <f t="shared" si="0"/>
        <v>4901</v>
      </c>
      <c r="AE30" s="13">
        <f t="shared" si="1"/>
        <v>3348</v>
      </c>
      <c r="AF30" s="13">
        <f t="shared" si="2"/>
        <v>0</v>
      </c>
      <c r="AG30" s="13">
        <f t="shared" si="3"/>
        <v>156929</v>
      </c>
      <c r="AH30" s="13">
        <f t="shared" si="4"/>
        <v>62317</v>
      </c>
      <c r="AI30" s="13">
        <f t="shared" si="5"/>
        <v>946272</v>
      </c>
    </row>
    <row r="31" spans="1:35" x14ac:dyDescent="0.25">
      <c r="A31" s="6" t="s">
        <v>289</v>
      </c>
      <c r="B31" s="2">
        <v>30</v>
      </c>
      <c r="C31" s="2" t="s">
        <v>265</v>
      </c>
      <c r="D31" s="3">
        <v>0</v>
      </c>
      <c r="E31" s="3">
        <v>274</v>
      </c>
      <c r="F31" s="3">
        <v>0</v>
      </c>
      <c r="G31" s="3">
        <v>2494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955</v>
      </c>
      <c r="S31" s="3">
        <v>1209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6056</v>
      </c>
      <c r="AD31" s="13">
        <f t="shared" si="0"/>
        <v>4932</v>
      </c>
      <c r="AE31" s="13">
        <f t="shared" si="1"/>
        <v>6056</v>
      </c>
      <c r="AF31" s="13">
        <f t="shared" si="2"/>
        <v>0</v>
      </c>
      <c r="AG31" s="13">
        <f t="shared" si="3"/>
        <v>161861</v>
      </c>
      <c r="AH31" s="13">
        <f t="shared" si="4"/>
        <v>68373</v>
      </c>
      <c r="AI31" s="13">
        <f t="shared" si="5"/>
        <v>946272</v>
      </c>
    </row>
    <row r="32" spans="1:35" x14ac:dyDescent="0.25">
      <c r="A32" s="6" t="s">
        <v>289</v>
      </c>
      <c r="B32" s="2">
        <v>31</v>
      </c>
      <c r="C32" s="2" t="s">
        <v>266</v>
      </c>
      <c r="D32" s="3">
        <v>0</v>
      </c>
      <c r="E32" s="3">
        <v>1246</v>
      </c>
      <c r="F32" s="3">
        <v>0</v>
      </c>
      <c r="G32" s="3">
        <v>2140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23</v>
      </c>
      <c r="O32" s="3">
        <v>0</v>
      </c>
      <c r="P32" s="3">
        <v>0</v>
      </c>
      <c r="Q32" s="3">
        <v>0</v>
      </c>
      <c r="R32" s="3">
        <v>2533</v>
      </c>
      <c r="S32" s="3">
        <v>1305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5798</v>
      </c>
      <c r="AD32" s="13">
        <f t="shared" si="0"/>
        <v>7247</v>
      </c>
      <c r="AE32" s="13">
        <f t="shared" si="1"/>
        <v>5798</v>
      </c>
      <c r="AF32" s="13">
        <f t="shared" si="2"/>
        <v>0</v>
      </c>
      <c r="AG32" s="13">
        <f t="shared" si="3"/>
        <v>169108</v>
      </c>
      <c r="AH32" s="13">
        <f t="shared" si="4"/>
        <v>74171</v>
      </c>
      <c r="AI32" s="13">
        <f t="shared" si="5"/>
        <v>946272</v>
      </c>
    </row>
    <row r="33" spans="1:35" x14ac:dyDescent="0.25">
      <c r="A33" s="6" t="s">
        <v>289</v>
      </c>
      <c r="B33" s="2">
        <v>32</v>
      </c>
      <c r="C33" s="2" t="s">
        <v>267</v>
      </c>
      <c r="D33" s="3">
        <v>0</v>
      </c>
      <c r="E33" s="3">
        <v>603</v>
      </c>
      <c r="F33" s="3">
        <v>0</v>
      </c>
      <c r="G33" s="3">
        <v>2350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1242</v>
      </c>
      <c r="S33" s="3">
        <v>1099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3647</v>
      </c>
      <c r="AD33" s="13">
        <f t="shared" si="0"/>
        <v>5294</v>
      </c>
      <c r="AE33" s="13">
        <f t="shared" si="1"/>
        <v>3647</v>
      </c>
      <c r="AF33" s="13">
        <f t="shared" si="2"/>
        <v>0</v>
      </c>
      <c r="AG33" s="13">
        <f t="shared" si="3"/>
        <v>174402</v>
      </c>
      <c r="AH33" s="13">
        <f t="shared" si="4"/>
        <v>77818</v>
      </c>
      <c r="AI33" s="13">
        <f t="shared" si="5"/>
        <v>946272</v>
      </c>
    </row>
    <row r="34" spans="1:35" x14ac:dyDescent="0.25">
      <c r="A34" s="6" t="s">
        <v>289</v>
      </c>
      <c r="B34" s="2">
        <v>33</v>
      </c>
      <c r="C34" s="2" t="s">
        <v>268</v>
      </c>
      <c r="D34" s="3">
        <v>0</v>
      </c>
      <c r="E34" s="3">
        <v>811</v>
      </c>
      <c r="F34" s="3">
        <v>0</v>
      </c>
      <c r="G34" s="3">
        <v>2227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105</v>
      </c>
      <c r="O34" s="3">
        <v>0</v>
      </c>
      <c r="P34" s="3">
        <v>0</v>
      </c>
      <c r="Q34" s="3">
        <v>0</v>
      </c>
      <c r="R34" s="3">
        <v>1369</v>
      </c>
      <c r="S34" s="3">
        <v>1172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2653</v>
      </c>
      <c r="AD34" s="13">
        <f t="shared" si="0"/>
        <v>5684</v>
      </c>
      <c r="AE34" s="13">
        <f t="shared" si="1"/>
        <v>2653</v>
      </c>
      <c r="AF34" s="13">
        <f t="shared" si="2"/>
        <v>0</v>
      </c>
      <c r="AG34" s="13">
        <f t="shared" si="3"/>
        <v>180086</v>
      </c>
      <c r="AH34" s="13">
        <f t="shared" si="4"/>
        <v>80471</v>
      </c>
      <c r="AI34" s="13">
        <f t="shared" si="5"/>
        <v>946272</v>
      </c>
    </row>
    <row r="35" spans="1:35" x14ac:dyDescent="0.25">
      <c r="A35" s="6" t="s">
        <v>289</v>
      </c>
      <c r="B35" s="2">
        <v>34</v>
      </c>
      <c r="C35" s="2" t="s">
        <v>269</v>
      </c>
      <c r="D35" s="3">
        <v>0</v>
      </c>
      <c r="E35" s="3">
        <v>799</v>
      </c>
      <c r="F35" s="3">
        <v>0</v>
      </c>
      <c r="G35" s="3">
        <v>2171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209</v>
      </c>
      <c r="O35" s="3">
        <v>0</v>
      </c>
      <c r="P35" s="3">
        <v>0</v>
      </c>
      <c r="Q35" s="3">
        <v>0</v>
      </c>
      <c r="R35" s="3">
        <v>541</v>
      </c>
      <c r="S35" s="3">
        <v>1085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3992</v>
      </c>
      <c r="AD35" s="13">
        <f t="shared" si="0"/>
        <v>4805</v>
      </c>
      <c r="AE35" s="13">
        <f t="shared" si="1"/>
        <v>3992</v>
      </c>
      <c r="AF35" s="13">
        <f t="shared" si="2"/>
        <v>0</v>
      </c>
      <c r="AG35" s="13">
        <f t="shared" si="3"/>
        <v>184891</v>
      </c>
      <c r="AH35" s="13">
        <f t="shared" si="4"/>
        <v>84463</v>
      </c>
      <c r="AI35" s="13">
        <f t="shared" si="5"/>
        <v>946272</v>
      </c>
    </row>
    <row r="36" spans="1:35" x14ac:dyDescent="0.25">
      <c r="A36" s="6" t="s">
        <v>289</v>
      </c>
      <c r="B36" s="2">
        <v>35</v>
      </c>
      <c r="C36" s="2" t="s">
        <v>270</v>
      </c>
      <c r="D36" s="3">
        <v>0</v>
      </c>
      <c r="E36" s="3">
        <v>974</v>
      </c>
      <c r="F36" s="3">
        <v>0</v>
      </c>
      <c r="G36" s="3">
        <v>2211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140</v>
      </c>
      <c r="O36" s="3">
        <v>0</v>
      </c>
      <c r="P36" s="3">
        <v>0</v>
      </c>
      <c r="Q36" s="3">
        <v>0</v>
      </c>
      <c r="R36" s="3">
        <v>872</v>
      </c>
      <c r="S36" s="3">
        <v>1100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1306</v>
      </c>
      <c r="AD36" s="13">
        <f t="shared" si="0"/>
        <v>5297</v>
      </c>
      <c r="AE36" s="13">
        <f t="shared" si="1"/>
        <v>1306</v>
      </c>
      <c r="AF36" s="13">
        <f t="shared" si="2"/>
        <v>0</v>
      </c>
      <c r="AG36" s="13">
        <f t="shared" si="3"/>
        <v>190188</v>
      </c>
      <c r="AH36" s="13">
        <f t="shared" si="4"/>
        <v>85769</v>
      </c>
      <c r="AI36" s="13">
        <f t="shared" si="5"/>
        <v>946272</v>
      </c>
    </row>
    <row r="37" spans="1:35" x14ac:dyDescent="0.25">
      <c r="A37" s="6" t="s">
        <v>289</v>
      </c>
      <c r="B37" s="2">
        <v>36</v>
      </c>
      <c r="C37" s="2" t="s">
        <v>271</v>
      </c>
      <c r="D37" s="3">
        <v>0</v>
      </c>
      <c r="E37" s="3">
        <v>170</v>
      </c>
      <c r="F37" s="3">
        <v>0</v>
      </c>
      <c r="G37" s="3">
        <v>1943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138</v>
      </c>
      <c r="O37" s="3">
        <v>0</v>
      </c>
      <c r="P37" s="3">
        <v>0</v>
      </c>
      <c r="Q37" s="3">
        <v>0</v>
      </c>
      <c r="R37" s="3">
        <v>374</v>
      </c>
      <c r="S37" s="3">
        <v>183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2584</v>
      </c>
      <c r="AD37" s="13">
        <f t="shared" si="0"/>
        <v>2808</v>
      </c>
      <c r="AE37" s="13">
        <f t="shared" si="1"/>
        <v>2584</v>
      </c>
      <c r="AF37" s="13">
        <f t="shared" si="2"/>
        <v>0</v>
      </c>
      <c r="AG37" s="13">
        <f t="shared" si="3"/>
        <v>192996</v>
      </c>
      <c r="AH37" s="13">
        <f t="shared" si="4"/>
        <v>88353</v>
      </c>
      <c r="AI37" s="13">
        <f t="shared" si="5"/>
        <v>946272</v>
      </c>
    </row>
    <row r="38" spans="1:35" x14ac:dyDescent="0.25">
      <c r="A38" s="6" t="s">
        <v>289</v>
      </c>
      <c r="B38" s="2">
        <v>37</v>
      </c>
      <c r="C38" s="2" t="s">
        <v>272</v>
      </c>
      <c r="D38" s="3">
        <v>0</v>
      </c>
      <c r="E38" s="3">
        <v>605</v>
      </c>
      <c r="F38" s="3">
        <v>0</v>
      </c>
      <c r="G38" s="3">
        <v>2557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418</v>
      </c>
      <c r="O38" s="3">
        <v>0</v>
      </c>
      <c r="P38" s="3">
        <v>0</v>
      </c>
      <c r="Q38" s="3">
        <v>0</v>
      </c>
      <c r="R38" s="3">
        <v>346</v>
      </c>
      <c r="S38" s="3">
        <v>1045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5424</v>
      </c>
      <c r="AD38" s="13">
        <f t="shared" si="0"/>
        <v>4971</v>
      </c>
      <c r="AE38" s="13">
        <f t="shared" si="1"/>
        <v>5424</v>
      </c>
      <c r="AF38" s="13">
        <f t="shared" si="2"/>
        <v>0</v>
      </c>
      <c r="AG38" s="13">
        <f t="shared" si="3"/>
        <v>197967</v>
      </c>
      <c r="AH38" s="13">
        <f t="shared" si="4"/>
        <v>93777</v>
      </c>
      <c r="AI38" s="13">
        <f t="shared" si="5"/>
        <v>946272</v>
      </c>
    </row>
    <row r="39" spans="1:35" x14ac:dyDescent="0.25">
      <c r="A39" s="6" t="s">
        <v>289</v>
      </c>
      <c r="B39" s="2">
        <v>38</v>
      </c>
      <c r="C39" s="2" t="s">
        <v>273</v>
      </c>
      <c r="D39" s="3">
        <v>0</v>
      </c>
      <c r="E39" s="3">
        <v>588</v>
      </c>
      <c r="F39" s="3">
        <v>0</v>
      </c>
      <c r="G39" s="3">
        <v>2555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339</v>
      </c>
      <c r="O39" s="3">
        <v>0</v>
      </c>
      <c r="P39" s="3">
        <v>0</v>
      </c>
      <c r="Q39" s="3">
        <v>0</v>
      </c>
      <c r="R39" s="3">
        <v>680</v>
      </c>
      <c r="S39" s="3">
        <v>1009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3750</v>
      </c>
      <c r="AD39" s="13">
        <f t="shared" si="0"/>
        <v>5171</v>
      </c>
      <c r="AE39" s="13">
        <f t="shared" si="1"/>
        <v>3750</v>
      </c>
      <c r="AF39" s="13">
        <f t="shared" si="2"/>
        <v>0</v>
      </c>
      <c r="AG39" s="13">
        <f t="shared" si="3"/>
        <v>203138</v>
      </c>
      <c r="AH39" s="13">
        <f t="shared" si="4"/>
        <v>97527</v>
      </c>
      <c r="AI39" s="13">
        <f t="shared" si="5"/>
        <v>946272</v>
      </c>
    </row>
    <row r="40" spans="1:35" x14ac:dyDescent="0.25">
      <c r="A40" s="6" t="s">
        <v>289</v>
      </c>
      <c r="B40" s="2">
        <v>39</v>
      </c>
      <c r="C40" s="2" t="s">
        <v>274</v>
      </c>
      <c r="D40" s="3">
        <v>0</v>
      </c>
      <c r="E40" s="3">
        <v>757</v>
      </c>
      <c r="F40" s="3">
        <v>0</v>
      </c>
      <c r="G40" s="3">
        <v>2578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793</v>
      </c>
      <c r="O40" s="3">
        <v>0</v>
      </c>
      <c r="P40" s="3">
        <v>0</v>
      </c>
      <c r="Q40" s="3">
        <v>0</v>
      </c>
      <c r="R40" s="3">
        <v>1536</v>
      </c>
      <c r="S40" s="3">
        <v>788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4003</v>
      </c>
      <c r="AD40" s="13">
        <f t="shared" si="0"/>
        <v>6452</v>
      </c>
      <c r="AE40" s="13">
        <f t="shared" si="1"/>
        <v>4003</v>
      </c>
      <c r="AF40" s="13">
        <f t="shared" si="2"/>
        <v>0</v>
      </c>
      <c r="AG40" s="13">
        <f t="shared" si="3"/>
        <v>209590</v>
      </c>
      <c r="AH40" s="13">
        <f t="shared" si="4"/>
        <v>101530</v>
      </c>
      <c r="AI40" s="13">
        <f t="shared" si="5"/>
        <v>946272</v>
      </c>
    </row>
    <row r="41" spans="1:35" x14ac:dyDescent="0.25">
      <c r="A41" s="6" t="s">
        <v>289</v>
      </c>
      <c r="B41" s="2">
        <v>40</v>
      </c>
      <c r="C41" s="2" t="s">
        <v>275</v>
      </c>
      <c r="D41" s="3">
        <v>0</v>
      </c>
      <c r="E41" s="3">
        <v>1260</v>
      </c>
      <c r="F41" s="3">
        <v>0</v>
      </c>
      <c r="G41" s="3">
        <v>1998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428</v>
      </c>
      <c r="O41" s="3">
        <v>0</v>
      </c>
      <c r="P41" s="3">
        <v>0</v>
      </c>
      <c r="Q41" s="3">
        <v>0</v>
      </c>
      <c r="R41" s="3">
        <v>1201</v>
      </c>
      <c r="S41" s="3">
        <v>1924</v>
      </c>
      <c r="T41" s="3">
        <v>0</v>
      </c>
      <c r="U41" s="3">
        <v>21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5076</v>
      </c>
      <c r="AD41" s="13">
        <f t="shared" si="0"/>
        <v>6811</v>
      </c>
      <c r="AE41" s="13">
        <f t="shared" si="1"/>
        <v>5076</v>
      </c>
      <c r="AF41" s="13">
        <f t="shared" si="2"/>
        <v>21</v>
      </c>
      <c r="AG41" s="13">
        <f t="shared" si="3"/>
        <v>216401</v>
      </c>
      <c r="AH41" s="13">
        <f t="shared" si="4"/>
        <v>106606</v>
      </c>
      <c r="AI41" s="13">
        <f t="shared" si="5"/>
        <v>946293</v>
      </c>
    </row>
    <row r="42" spans="1:35" x14ac:dyDescent="0.25">
      <c r="A42" s="6" t="s">
        <v>289</v>
      </c>
      <c r="B42" s="2">
        <v>41</v>
      </c>
      <c r="C42" s="2" t="s">
        <v>276</v>
      </c>
      <c r="D42" s="3">
        <v>0</v>
      </c>
      <c r="E42" s="3">
        <v>1252</v>
      </c>
      <c r="F42" s="3">
        <v>0</v>
      </c>
      <c r="G42" s="3">
        <v>2099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633</v>
      </c>
      <c r="O42" s="3">
        <v>0</v>
      </c>
      <c r="P42" s="3">
        <v>0</v>
      </c>
      <c r="Q42" s="3">
        <v>0</v>
      </c>
      <c r="R42" s="3">
        <v>1152</v>
      </c>
      <c r="S42" s="3">
        <v>645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2941</v>
      </c>
      <c r="AD42" s="13">
        <f t="shared" si="0"/>
        <v>5781</v>
      </c>
      <c r="AE42" s="13">
        <f t="shared" si="1"/>
        <v>2941</v>
      </c>
      <c r="AF42" s="13">
        <f t="shared" si="2"/>
        <v>0</v>
      </c>
      <c r="AG42" s="13">
        <f t="shared" si="3"/>
        <v>222182</v>
      </c>
      <c r="AH42" s="13">
        <f t="shared" si="4"/>
        <v>109547</v>
      </c>
      <c r="AI42" s="13">
        <f t="shared" si="5"/>
        <v>946293</v>
      </c>
    </row>
    <row r="43" spans="1:35" x14ac:dyDescent="0.25">
      <c r="A43" s="6" t="s">
        <v>289</v>
      </c>
      <c r="B43" s="2">
        <v>42</v>
      </c>
      <c r="C43" s="2" t="s">
        <v>277</v>
      </c>
      <c r="D43" s="3">
        <v>0</v>
      </c>
      <c r="E43" s="3">
        <v>674</v>
      </c>
      <c r="F43" s="3">
        <v>0</v>
      </c>
      <c r="G43" s="3">
        <v>1300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172</v>
      </c>
      <c r="O43" s="3">
        <v>0</v>
      </c>
      <c r="P43" s="3">
        <v>0</v>
      </c>
      <c r="Q43" s="3">
        <v>0</v>
      </c>
      <c r="R43" s="3">
        <v>924</v>
      </c>
      <c r="S43" s="3">
        <v>1254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3190</v>
      </c>
      <c r="AD43" s="13">
        <f t="shared" si="0"/>
        <v>4324</v>
      </c>
      <c r="AE43" s="13">
        <f t="shared" si="1"/>
        <v>3190</v>
      </c>
      <c r="AF43" s="13">
        <f t="shared" si="2"/>
        <v>0</v>
      </c>
      <c r="AG43" s="13">
        <f t="shared" si="3"/>
        <v>226506</v>
      </c>
      <c r="AH43" s="13">
        <f t="shared" si="4"/>
        <v>112737</v>
      </c>
      <c r="AI43" s="13">
        <f t="shared" si="5"/>
        <v>946293</v>
      </c>
    </row>
    <row r="44" spans="1:35" x14ac:dyDescent="0.25">
      <c r="A44" s="6" t="s">
        <v>289</v>
      </c>
      <c r="B44" s="2">
        <v>43</v>
      </c>
      <c r="C44" s="2" t="s">
        <v>278</v>
      </c>
      <c r="D44" s="3">
        <v>0</v>
      </c>
      <c r="E44" s="3">
        <v>838</v>
      </c>
      <c r="F44" s="3">
        <v>0</v>
      </c>
      <c r="G44" s="3">
        <v>1794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347</v>
      </c>
      <c r="O44" s="3">
        <v>0</v>
      </c>
      <c r="P44" s="3">
        <v>0</v>
      </c>
      <c r="Q44" s="3">
        <v>0</v>
      </c>
      <c r="R44" s="3">
        <v>911</v>
      </c>
      <c r="S44" s="3">
        <v>817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3741</v>
      </c>
      <c r="AD44" s="13">
        <f t="shared" si="0"/>
        <v>4707</v>
      </c>
      <c r="AE44" s="13">
        <f t="shared" si="1"/>
        <v>3741</v>
      </c>
      <c r="AF44" s="13">
        <f t="shared" si="2"/>
        <v>0</v>
      </c>
      <c r="AG44" s="13">
        <f t="shared" si="3"/>
        <v>231213</v>
      </c>
      <c r="AH44" s="13">
        <f t="shared" si="4"/>
        <v>116478</v>
      </c>
      <c r="AI44" s="13">
        <f t="shared" si="5"/>
        <v>946293</v>
      </c>
    </row>
    <row r="45" spans="1:35" x14ac:dyDescent="0.25">
      <c r="A45" s="6" t="s">
        <v>289</v>
      </c>
      <c r="B45" s="2">
        <v>44</v>
      </c>
      <c r="C45" s="2" t="s">
        <v>279</v>
      </c>
      <c r="D45" s="3">
        <v>0</v>
      </c>
      <c r="E45" s="3">
        <v>1418</v>
      </c>
      <c r="F45" s="3">
        <v>0</v>
      </c>
      <c r="G45" s="3">
        <v>2138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1421</v>
      </c>
      <c r="O45" s="3">
        <v>0</v>
      </c>
      <c r="P45" s="3">
        <v>0</v>
      </c>
      <c r="Q45" s="3">
        <v>0</v>
      </c>
      <c r="R45" s="3">
        <v>1456</v>
      </c>
      <c r="S45" s="3">
        <v>1345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5576</v>
      </c>
      <c r="AD45" s="13">
        <f t="shared" si="0"/>
        <v>7778</v>
      </c>
      <c r="AE45" s="13">
        <f t="shared" si="1"/>
        <v>5576</v>
      </c>
      <c r="AF45" s="13">
        <f t="shared" si="2"/>
        <v>0</v>
      </c>
      <c r="AG45" s="13">
        <f t="shared" si="3"/>
        <v>238991</v>
      </c>
      <c r="AH45" s="13">
        <f t="shared" si="4"/>
        <v>122054</v>
      </c>
      <c r="AI45" s="13">
        <f t="shared" si="5"/>
        <v>946293</v>
      </c>
    </row>
    <row r="46" spans="1:35" x14ac:dyDescent="0.25">
      <c r="A46" s="6" t="s">
        <v>289</v>
      </c>
      <c r="B46" s="2">
        <v>45</v>
      </c>
      <c r="C46" s="2" t="s">
        <v>280</v>
      </c>
      <c r="D46" s="3">
        <v>0</v>
      </c>
      <c r="E46" s="3">
        <v>674</v>
      </c>
      <c r="F46" s="3">
        <v>0</v>
      </c>
      <c r="G46" s="3">
        <v>2332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288</v>
      </c>
      <c r="O46" s="3">
        <v>0</v>
      </c>
      <c r="P46" s="3">
        <v>0</v>
      </c>
      <c r="Q46" s="3">
        <v>0</v>
      </c>
      <c r="R46" s="3">
        <v>765</v>
      </c>
      <c r="S46" s="3">
        <v>1231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6452</v>
      </c>
      <c r="AD46" s="13">
        <f t="shared" si="0"/>
        <v>5290</v>
      </c>
      <c r="AE46" s="13">
        <f t="shared" si="1"/>
        <v>6452</v>
      </c>
      <c r="AF46" s="13">
        <f t="shared" si="2"/>
        <v>0</v>
      </c>
      <c r="AG46" s="13">
        <f t="shared" si="3"/>
        <v>244281</v>
      </c>
      <c r="AH46" s="13">
        <f t="shared" si="4"/>
        <v>128506</v>
      </c>
      <c r="AI46" s="13">
        <f t="shared" si="5"/>
        <v>946293</v>
      </c>
    </row>
    <row r="47" spans="1:35" x14ac:dyDescent="0.25">
      <c r="A47" s="6" t="s">
        <v>289</v>
      </c>
      <c r="B47" s="2">
        <v>46</v>
      </c>
      <c r="C47" s="2" t="s">
        <v>281</v>
      </c>
      <c r="D47" s="3">
        <v>0</v>
      </c>
      <c r="E47" s="3">
        <v>1192</v>
      </c>
      <c r="F47" s="3">
        <v>0</v>
      </c>
      <c r="G47" s="3">
        <v>2234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224</v>
      </c>
      <c r="O47" s="3">
        <v>0</v>
      </c>
      <c r="P47" s="3">
        <v>0</v>
      </c>
      <c r="Q47" s="3">
        <v>0</v>
      </c>
      <c r="R47" s="3">
        <v>688</v>
      </c>
      <c r="S47" s="3">
        <v>500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6590</v>
      </c>
      <c r="AD47" s="13">
        <f t="shared" si="0"/>
        <v>4838</v>
      </c>
      <c r="AE47" s="13">
        <f t="shared" si="1"/>
        <v>6590</v>
      </c>
      <c r="AF47" s="13">
        <f t="shared" si="2"/>
        <v>0</v>
      </c>
      <c r="AG47" s="13">
        <f t="shared" si="3"/>
        <v>249119</v>
      </c>
      <c r="AH47" s="13">
        <f t="shared" si="4"/>
        <v>135096</v>
      </c>
      <c r="AI47" s="13">
        <f t="shared" si="5"/>
        <v>946293</v>
      </c>
    </row>
    <row r="48" spans="1:35" x14ac:dyDescent="0.25">
      <c r="A48" s="6" t="s">
        <v>289</v>
      </c>
      <c r="B48" s="2">
        <v>47</v>
      </c>
      <c r="C48" s="2" t="s">
        <v>282</v>
      </c>
      <c r="D48" s="3">
        <v>0</v>
      </c>
      <c r="E48" s="3">
        <v>506</v>
      </c>
      <c r="F48" s="3">
        <v>0</v>
      </c>
      <c r="G48" s="3">
        <v>1804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150</v>
      </c>
      <c r="O48" s="3">
        <v>0</v>
      </c>
      <c r="P48" s="3">
        <v>0</v>
      </c>
      <c r="Q48" s="3">
        <v>0</v>
      </c>
      <c r="R48" s="3">
        <v>463</v>
      </c>
      <c r="S48" s="3">
        <v>829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3474</v>
      </c>
      <c r="AD48" s="13">
        <f t="shared" si="0"/>
        <v>3752</v>
      </c>
      <c r="AE48" s="13">
        <f t="shared" si="1"/>
        <v>3474</v>
      </c>
      <c r="AF48" s="13">
        <f t="shared" si="2"/>
        <v>0</v>
      </c>
      <c r="AG48" s="13">
        <f t="shared" si="3"/>
        <v>252871</v>
      </c>
      <c r="AH48" s="13">
        <f t="shared" si="4"/>
        <v>138570</v>
      </c>
      <c r="AI48" s="13">
        <f t="shared" si="5"/>
        <v>946293</v>
      </c>
    </row>
    <row r="49" spans="1:35" x14ac:dyDescent="0.25">
      <c r="A49" s="6" t="s">
        <v>289</v>
      </c>
      <c r="B49" s="2">
        <v>48</v>
      </c>
      <c r="C49" s="2" t="s">
        <v>283</v>
      </c>
      <c r="D49" s="3">
        <v>0</v>
      </c>
      <c r="E49" s="3">
        <v>1251</v>
      </c>
      <c r="F49" s="3">
        <v>0</v>
      </c>
      <c r="G49" s="3">
        <v>2224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111</v>
      </c>
      <c r="O49" s="3">
        <v>0</v>
      </c>
      <c r="P49" s="3">
        <v>0</v>
      </c>
      <c r="Q49" s="3">
        <v>0</v>
      </c>
      <c r="R49" s="3">
        <v>690</v>
      </c>
      <c r="S49" s="3">
        <v>1308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1943</v>
      </c>
      <c r="AD49" s="13">
        <f t="shared" si="0"/>
        <v>5584</v>
      </c>
      <c r="AE49" s="13">
        <f t="shared" si="1"/>
        <v>1943</v>
      </c>
      <c r="AF49" s="13">
        <f t="shared" si="2"/>
        <v>0</v>
      </c>
      <c r="AG49" s="13">
        <f t="shared" si="3"/>
        <v>258455</v>
      </c>
      <c r="AH49" s="13">
        <f t="shared" si="4"/>
        <v>140513</v>
      </c>
      <c r="AI49" s="13">
        <f t="shared" si="5"/>
        <v>946293</v>
      </c>
    </row>
    <row r="50" spans="1:35" x14ac:dyDescent="0.25">
      <c r="A50" s="6" t="s">
        <v>289</v>
      </c>
      <c r="B50" s="2">
        <v>49</v>
      </c>
      <c r="C50" s="2" t="s">
        <v>284</v>
      </c>
      <c r="D50" s="3">
        <v>0</v>
      </c>
      <c r="E50" s="3">
        <v>402</v>
      </c>
      <c r="F50" s="3">
        <v>0</v>
      </c>
      <c r="G50" s="3">
        <v>1882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6</v>
      </c>
      <c r="O50" s="3">
        <v>0</v>
      </c>
      <c r="P50" s="3">
        <v>0</v>
      </c>
      <c r="Q50" s="3">
        <v>0</v>
      </c>
      <c r="R50" s="3">
        <v>422</v>
      </c>
      <c r="S50" s="3">
        <v>1159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1906</v>
      </c>
      <c r="AD50" s="13">
        <f t="shared" si="0"/>
        <v>3871</v>
      </c>
      <c r="AE50" s="13">
        <f t="shared" si="1"/>
        <v>1906</v>
      </c>
      <c r="AF50" s="13">
        <f t="shared" si="2"/>
        <v>0</v>
      </c>
      <c r="AG50" s="13">
        <f t="shared" si="3"/>
        <v>262326</v>
      </c>
      <c r="AH50" s="13">
        <f t="shared" si="4"/>
        <v>142419</v>
      </c>
      <c r="AI50" s="13">
        <f t="shared" si="5"/>
        <v>946293</v>
      </c>
    </row>
    <row r="51" spans="1:35" x14ac:dyDescent="0.25">
      <c r="A51" s="6" t="s">
        <v>289</v>
      </c>
      <c r="B51" s="2">
        <v>50</v>
      </c>
      <c r="C51" s="2" t="s">
        <v>285</v>
      </c>
      <c r="D51" s="3">
        <v>0</v>
      </c>
      <c r="E51" s="3">
        <v>681</v>
      </c>
      <c r="F51" s="3">
        <v>0</v>
      </c>
      <c r="G51" s="3">
        <v>1202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440</v>
      </c>
      <c r="O51" s="3">
        <v>0</v>
      </c>
      <c r="P51" s="3">
        <v>0</v>
      </c>
      <c r="Q51" s="3">
        <v>0</v>
      </c>
      <c r="R51" s="3">
        <v>274</v>
      </c>
      <c r="S51" s="3">
        <v>1176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836</v>
      </c>
      <c r="AD51" s="13">
        <f t="shared" si="0"/>
        <v>3773</v>
      </c>
      <c r="AE51" s="13">
        <f t="shared" si="1"/>
        <v>836</v>
      </c>
      <c r="AF51" s="13">
        <f t="shared" si="2"/>
        <v>0</v>
      </c>
      <c r="AG51" s="13">
        <f t="shared" si="3"/>
        <v>266099</v>
      </c>
      <c r="AH51" s="13">
        <f t="shared" si="4"/>
        <v>143255</v>
      </c>
      <c r="AI51" s="13">
        <f t="shared" si="5"/>
        <v>946293</v>
      </c>
    </row>
    <row r="52" spans="1:35" x14ac:dyDescent="0.25">
      <c r="A52" s="6" t="s">
        <v>289</v>
      </c>
      <c r="B52" s="2">
        <v>51</v>
      </c>
      <c r="C52" s="2" t="s">
        <v>286</v>
      </c>
      <c r="D52" s="3">
        <v>0</v>
      </c>
      <c r="E52" s="3">
        <v>555</v>
      </c>
      <c r="F52" s="3">
        <v>0</v>
      </c>
      <c r="G52" s="3">
        <v>1376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1311</v>
      </c>
      <c r="O52" s="3">
        <v>0</v>
      </c>
      <c r="P52" s="3">
        <v>0</v>
      </c>
      <c r="Q52" s="3">
        <v>0</v>
      </c>
      <c r="R52" s="3">
        <v>515</v>
      </c>
      <c r="S52" s="3">
        <v>1353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712</v>
      </c>
      <c r="AD52" s="13">
        <f t="shared" si="0"/>
        <v>5110</v>
      </c>
      <c r="AE52" s="13">
        <f t="shared" si="1"/>
        <v>712</v>
      </c>
      <c r="AF52" s="13">
        <f t="shared" si="2"/>
        <v>0</v>
      </c>
      <c r="AG52" s="13">
        <f t="shared" si="3"/>
        <v>271209</v>
      </c>
      <c r="AH52" s="13">
        <f t="shared" si="4"/>
        <v>143967</v>
      </c>
      <c r="AI52" s="13">
        <f t="shared" si="5"/>
        <v>946293</v>
      </c>
    </row>
    <row r="53" spans="1:35" x14ac:dyDescent="0.25">
      <c r="A53" s="6" t="s">
        <v>289</v>
      </c>
      <c r="B53" s="2">
        <v>52</v>
      </c>
      <c r="C53" s="2" t="s">
        <v>287</v>
      </c>
      <c r="D53" s="3">
        <v>0</v>
      </c>
      <c r="E53" s="3">
        <v>374</v>
      </c>
      <c r="F53" s="3">
        <v>0</v>
      </c>
      <c r="G53" s="3">
        <v>2728</v>
      </c>
      <c r="H53" s="3">
        <v>0</v>
      </c>
      <c r="I53" s="3">
        <v>0</v>
      </c>
      <c r="J53" s="3">
        <v>0</v>
      </c>
      <c r="K53" s="3">
        <v>21954</v>
      </c>
      <c r="L53" s="3">
        <v>0</v>
      </c>
      <c r="M53" s="3">
        <v>0</v>
      </c>
      <c r="N53" s="3">
        <v>12</v>
      </c>
      <c r="O53" s="3">
        <v>0</v>
      </c>
      <c r="P53" s="3">
        <v>0</v>
      </c>
      <c r="Q53" s="3">
        <v>0</v>
      </c>
      <c r="R53" s="3">
        <v>894</v>
      </c>
      <c r="S53" s="3">
        <v>610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320</v>
      </c>
      <c r="AD53" s="13">
        <f t="shared" si="0"/>
        <v>4618</v>
      </c>
      <c r="AE53" s="13">
        <f t="shared" si="1"/>
        <v>320</v>
      </c>
      <c r="AF53" s="13">
        <f t="shared" si="2"/>
        <v>21954</v>
      </c>
      <c r="AG53" s="13">
        <f t="shared" si="3"/>
        <v>275827</v>
      </c>
      <c r="AH53" s="13">
        <f t="shared" si="4"/>
        <v>144287</v>
      </c>
      <c r="AI53" s="13">
        <f t="shared" si="5"/>
        <v>968247</v>
      </c>
    </row>
    <row r="54" spans="1:35" x14ac:dyDescent="0.25">
      <c r="A54" s="6" t="s">
        <v>289</v>
      </c>
      <c r="B54" s="2">
        <v>53</v>
      </c>
      <c r="C54" s="2" t="s">
        <v>288</v>
      </c>
      <c r="D54" s="3">
        <v>0</v>
      </c>
      <c r="E54" s="3">
        <v>1865</v>
      </c>
      <c r="F54" s="3">
        <v>0</v>
      </c>
      <c r="G54" s="3">
        <v>1138</v>
      </c>
      <c r="H54" s="3">
        <v>0</v>
      </c>
      <c r="I54" s="3">
        <v>0</v>
      </c>
      <c r="J54" s="3">
        <v>0</v>
      </c>
      <c r="K54" s="3">
        <v>30685</v>
      </c>
      <c r="L54" s="3">
        <v>0</v>
      </c>
      <c r="M54" s="3">
        <v>0</v>
      </c>
      <c r="N54" s="3">
        <v>362</v>
      </c>
      <c r="O54" s="3">
        <v>0</v>
      </c>
      <c r="P54" s="3">
        <v>0</v>
      </c>
      <c r="Q54" s="3">
        <v>0</v>
      </c>
      <c r="R54" s="3">
        <v>557</v>
      </c>
      <c r="S54" s="3">
        <v>1729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516</v>
      </c>
      <c r="AD54" s="13">
        <f t="shared" si="0"/>
        <v>5651</v>
      </c>
      <c r="AE54" s="13">
        <f t="shared" si="1"/>
        <v>516</v>
      </c>
      <c r="AF54" s="13">
        <f t="shared" si="2"/>
        <v>30685</v>
      </c>
      <c r="AG54" s="13">
        <f t="shared" si="3"/>
        <v>281478</v>
      </c>
      <c r="AH54" s="13">
        <f t="shared" si="4"/>
        <v>144803</v>
      </c>
      <c r="AI54" s="13">
        <f t="shared" si="5"/>
        <v>998932</v>
      </c>
    </row>
    <row r="55" spans="1:35" s="20" customFormat="1" x14ac:dyDescent="0.25">
      <c r="A55" s="16" t="s">
        <v>179</v>
      </c>
      <c r="B55" s="17">
        <v>1</v>
      </c>
      <c r="C55" s="17" t="s">
        <v>180</v>
      </c>
      <c r="D55" s="18">
        <v>0</v>
      </c>
      <c r="E55" s="18">
        <v>480</v>
      </c>
      <c r="F55" s="18">
        <v>0</v>
      </c>
      <c r="G55" s="18">
        <v>1975</v>
      </c>
      <c r="H55" s="18">
        <v>0</v>
      </c>
      <c r="I55" s="18">
        <v>0</v>
      </c>
      <c r="J55" s="18">
        <v>0</v>
      </c>
      <c r="K55" s="18">
        <v>0</v>
      </c>
      <c r="L55" s="18">
        <v>0</v>
      </c>
      <c r="M55" s="18">
        <v>0</v>
      </c>
      <c r="N55" s="18">
        <v>0</v>
      </c>
      <c r="O55" s="18">
        <v>0</v>
      </c>
      <c r="P55" s="18">
        <v>0</v>
      </c>
      <c r="Q55" s="18">
        <v>0</v>
      </c>
      <c r="R55" s="18">
        <v>712</v>
      </c>
      <c r="S55" s="18">
        <v>1137</v>
      </c>
      <c r="T55" s="18">
        <v>0</v>
      </c>
      <c r="U55" s="18">
        <v>0</v>
      </c>
      <c r="V55" s="18">
        <v>0</v>
      </c>
      <c r="W55" s="18">
        <v>0</v>
      </c>
      <c r="X55" s="18">
        <v>0</v>
      </c>
      <c r="Y55" s="18">
        <v>22400</v>
      </c>
      <c r="Z55" s="18">
        <v>0</v>
      </c>
      <c r="AA55" s="18">
        <v>0</v>
      </c>
      <c r="AB55" s="18">
        <v>0</v>
      </c>
      <c r="AC55" s="18">
        <v>27</v>
      </c>
      <c r="AD55" s="19">
        <f t="shared" si="0"/>
        <v>4304</v>
      </c>
      <c r="AE55" s="19">
        <f t="shared" si="1"/>
        <v>27</v>
      </c>
      <c r="AF55" s="19">
        <f t="shared" si="2"/>
        <v>22400</v>
      </c>
      <c r="AG55" s="19">
        <f>AD55</f>
        <v>4304</v>
      </c>
      <c r="AH55" s="19">
        <f>AE55</f>
        <v>27</v>
      </c>
      <c r="AI55" s="19">
        <f>AF55</f>
        <v>22400</v>
      </c>
    </row>
    <row r="56" spans="1:35" x14ac:dyDescent="0.25">
      <c r="A56" s="6" t="s">
        <v>179</v>
      </c>
      <c r="B56" s="2">
        <v>2</v>
      </c>
      <c r="C56" s="2" t="s">
        <v>181</v>
      </c>
      <c r="D56" s="3">
        <v>0</v>
      </c>
      <c r="E56" s="3">
        <v>483</v>
      </c>
      <c r="F56" s="3">
        <v>0</v>
      </c>
      <c r="G56" s="3">
        <v>3525</v>
      </c>
      <c r="H56" s="3">
        <v>0</v>
      </c>
      <c r="I56" s="3">
        <v>0</v>
      </c>
      <c r="J56" s="3">
        <v>0</v>
      </c>
      <c r="K56" s="3">
        <v>0</v>
      </c>
      <c r="L56" s="3">
        <v>10643</v>
      </c>
      <c r="M56" s="3">
        <v>0</v>
      </c>
      <c r="N56" s="3">
        <v>67</v>
      </c>
      <c r="O56" s="3">
        <v>0</v>
      </c>
      <c r="P56" s="3">
        <v>0</v>
      </c>
      <c r="Q56" s="3">
        <v>0</v>
      </c>
      <c r="R56" s="3">
        <v>1170</v>
      </c>
      <c r="S56" s="3">
        <v>1192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27400</v>
      </c>
      <c r="Z56" s="3">
        <v>0</v>
      </c>
      <c r="AA56" s="3">
        <v>0</v>
      </c>
      <c r="AB56" s="3">
        <v>0</v>
      </c>
      <c r="AC56" s="3">
        <v>0</v>
      </c>
      <c r="AD56" s="13">
        <f t="shared" si="0"/>
        <v>6437</v>
      </c>
      <c r="AE56" s="13">
        <f t="shared" si="1"/>
        <v>0</v>
      </c>
      <c r="AF56" s="13">
        <f t="shared" si="2"/>
        <v>38043</v>
      </c>
      <c r="AG56" s="13">
        <f t="shared" ref="AG56:AI57" si="6">AG55+AD56</f>
        <v>10741</v>
      </c>
      <c r="AH56" s="13">
        <f t="shared" si="6"/>
        <v>27</v>
      </c>
      <c r="AI56" s="13">
        <f t="shared" si="6"/>
        <v>60443</v>
      </c>
    </row>
    <row r="57" spans="1:35" x14ac:dyDescent="0.25">
      <c r="A57" s="6" t="s">
        <v>179</v>
      </c>
      <c r="B57" s="2">
        <v>3</v>
      </c>
      <c r="C57" s="2" t="s">
        <v>182</v>
      </c>
      <c r="D57" s="3">
        <v>0</v>
      </c>
      <c r="E57" s="3">
        <v>472</v>
      </c>
      <c r="F57" s="3">
        <v>0</v>
      </c>
      <c r="G57" s="3">
        <v>1696</v>
      </c>
      <c r="H57" s="3">
        <v>0</v>
      </c>
      <c r="I57" s="3">
        <v>0</v>
      </c>
      <c r="J57" s="3">
        <v>0</v>
      </c>
      <c r="K57" s="3">
        <v>0</v>
      </c>
      <c r="L57" s="3">
        <v>34857</v>
      </c>
      <c r="M57" s="3">
        <v>0</v>
      </c>
      <c r="N57" s="3">
        <v>55</v>
      </c>
      <c r="O57" s="3">
        <v>0</v>
      </c>
      <c r="P57" s="3">
        <v>0</v>
      </c>
      <c r="Q57" s="3">
        <v>0</v>
      </c>
      <c r="R57" s="3">
        <v>1076</v>
      </c>
      <c r="S57" s="3">
        <v>1373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22946</v>
      </c>
      <c r="AB57" s="3">
        <v>0</v>
      </c>
      <c r="AC57" s="3">
        <v>0</v>
      </c>
      <c r="AD57" s="13">
        <f t="shared" si="0"/>
        <v>4672</v>
      </c>
      <c r="AE57" s="13">
        <f t="shared" si="1"/>
        <v>0</v>
      </c>
      <c r="AF57" s="13">
        <f t="shared" si="2"/>
        <v>57803</v>
      </c>
      <c r="AG57" s="13">
        <f t="shared" si="6"/>
        <v>15413</v>
      </c>
      <c r="AH57" s="13">
        <f t="shared" si="6"/>
        <v>27</v>
      </c>
      <c r="AI57" s="13">
        <f t="shared" si="6"/>
        <v>118246</v>
      </c>
    </row>
    <row r="58" spans="1:35" x14ac:dyDescent="0.25">
      <c r="A58" s="6" t="s">
        <v>179</v>
      </c>
      <c r="B58" s="2">
        <v>4</v>
      </c>
      <c r="C58" s="2" t="s">
        <v>183</v>
      </c>
      <c r="D58" s="3">
        <v>0</v>
      </c>
      <c r="E58" s="3">
        <v>1135</v>
      </c>
      <c r="F58" s="3">
        <v>0</v>
      </c>
      <c r="G58" s="3">
        <v>1442</v>
      </c>
      <c r="H58" s="3">
        <v>0</v>
      </c>
      <c r="I58" s="3">
        <v>0</v>
      </c>
      <c r="J58" s="3">
        <v>0</v>
      </c>
      <c r="K58" s="3">
        <v>0</v>
      </c>
      <c r="L58" s="3">
        <v>500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795</v>
      </c>
      <c r="S58" s="3">
        <v>1248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57458</v>
      </c>
      <c r="AB58" s="3">
        <v>0</v>
      </c>
      <c r="AC58" s="3">
        <v>0</v>
      </c>
      <c r="AD58" s="13">
        <f t="shared" si="0"/>
        <v>4620</v>
      </c>
      <c r="AE58" s="13">
        <f t="shared" si="1"/>
        <v>0</v>
      </c>
      <c r="AF58" s="13">
        <f t="shared" si="2"/>
        <v>57958</v>
      </c>
      <c r="AG58" s="13">
        <f t="shared" ref="AG58:AG106" si="7">AG57+AD58</f>
        <v>20033</v>
      </c>
      <c r="AH58" s="13">
        <f t="shared" ref="AH58:AH106" si="8">AH57+AE58</f>
        <v>27</v>
      </c>
      <c r="AI58" s="13">
        <f t="shared" ref="AI58:AI106" si="9">AI57+AF58</f>
        <v>176204</v>
      </c>
    </row>
    <row r="59" spans="1:35" x14ac:dyDescent="0.25">
      <c r="A59" s="6" t="s">
        <v>179</v>
      </c>
      <c r="B59" s="2">
        <v>5</v>
      </c>
      <c r="C59" s="2" t="s">
        <v>184</v>
      </c>
      <c r="D59" s="3">
        <v>1105</v>
      </c>
      <c r="E59" s="3">
        <v>353</v>
      </c>
      <c r="F59" s="3">
        <v>0</v>
      </c>
      <c r="G59" s="3">
        <v>1297</v>
      </c>
      <c r="H59" s="3">
        <v>0</v>
      </c>
      <c r="I59" s="3">
        <v>0</v>
      </c>
      <c r="J59" s="3">
        <v>27150</v>
      </c>
      <c r="K59" s="3">
        <v>0</v>
      </c>
      <c r="L59" s="3">
        <v>0</v>
      </c>
      <c r="M59" s="3">
        <v>0</v>
      </c>
      <c r="N59" s="3">
        <v>50</v>
      </c>
      <c r="O59" s="3">
        <v>0</v>
      </c>
      <c r="P59" s="3">
        <v>0</v>
      </c>
      <c r="Q59" s="3">
        <v>0</v>
      </c>
      <c r="R59" s="3">
        <v>833</v>
      </c>
      <c r="S59" s="3">
        <v>672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53610</v>
      </c>
      <c r="Z59" s="3">
        <v>0</v>
      </c>
      <c r="AA59" s="3">
        <v>28536</v>
      </c>
      <c r="AB59" s="3">
        <v>0</v>
      </c>
      <c r="AC59" s="3">
        <v>0</v>
      </c>
      <c r="AD59" s="13">
        <f t="shared" si="0"/>
        <v>3205</v>
      </c>
      <c r="AE59" s="13">
        <f t="shared" si="1"/>
        <v>0</v>
      </c>
      <c r="AF59" s="13">
        <f t="shared" si="2"/>
        <v>110401</v>
      </c>
      <c r="AG59" s="13">
        <f t="shared" si="7"/>
        <v>23238</v>
      </c>
      <c r="AH59" s="13">
        <f t="shared" si="8"/>
        <v>27</v>
      </c>
      <c r="AI59" s="13">
        <f t="shared" si="9"/>
        <v>286605</v>
      </c>
    </row>
    <row r="60" spans="1:35" x14ac:dyDescent="0.25">
      <c r="A60" s="6" t="s">
        <v>179</v>
      </c>
      <c r="B60" s="2">
        <v>6</v>
      </c>
      <c r="C60" s="2" t="s">
        <v>185</v>
      </c>
      <c r="D60" s="3">
        <v>0</v>
      </c>
      <c r="E60" s="3">
        <v>102</v>
      </c>
      <c r="F60" s="3">
        <v>0</v>
      </c>
      <c r="G60" s="3">
        <v>1203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277</v>
      </c>
      <c r="S60" s="3">
        <v>1055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52700</v>
      </c>
      <c r="AA60" s="3">
        <v>47161</v>
      </c>
      <c r="AB60" s="3">
        <v>0</v>
      </c>
      <c r="AC60" s="3">
        <v>0</v>
      </c>
      <c r="AD60" s="13">
        <f t="shared" si="0"/>
        <v>2637</v>
      </c>
      <c r="AE60" s="13">
        <f t="shared" si="1"/>
        <v>0</v>
      </c>
      <c r="AF60" s="13">
        <f t="shared" si="2"/>
        <v>99861</v>
      </c>
      <c r="AG60" s="13">
        <f t="shared" si="7"/>
        <v>25875</v>
      </c>
      <c r="AH60" s="13">
        <f t="shared" si="8"/>
        <v>27</v>
      </c>
      <c r="AI60" s="13">
        <f t="shared" si="9"/>
        <v>386466</v>
      </c>
    </row>
    <row r="61" spans="1:35" x14ac:dyDescent="0.25">
      <c r="A61" s="6" t="s">
        <v>179</v>
      </c>
      <c r="B61" s="2">
        <v>7</v>
      </c>
      <c r="C61" s="2" t="s">
        <v>186</v>
      </c>
      <c r="D61" s="3">
        <v>993</v>
      </c>
      <c r="E61" s="3">
        <v>172</v>
      </c>
      <c r="F61" s="3">
        <v>0</v>
      </c>
      <c r="G61" s="3">
        <v>1832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708</v>
      </c>
      <c r="S61" s="3">
        <v>907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58957</v>
      </c>
      <c r="AB61" s="3">
        <v>0</v>
      </c>
      <c r="AC61" s="3">
        <v>0</v>
      </c>
      <c r="AD61" s="13">
        <f t="shared" si="0"/>
        <v>3619</v>
      </c>
      <c r="AE61" s="13">
        <f t="shared" si="1"/>
        <v>0</v>
      </c>
      <c r="AF61" s="13">
        <f t="shared" si="2"/>
        <v>59950</v>
      </c>
      <c r="AG61" s="13">
        <f t="shared" si="7"/>
        <v>29494</v>
      </c>
      <c r="AH61" s="13">
        <f t="shared" si="8"/>
        <v>27</v>
      </c>
      <c r="AI61" s="13">
        <f t="shared" si="9"/>
        <v>446416</v>
      </c>
    </row>
    <row r="62" spans="1:35" x14ac:dyDescent="0.25">
      <c r="A62" s="6" t="s">
        <v>179</v>
      </c>
      <c r="B62" s="2">
        <v>8</v>
      </c>
      <c r="C62" s="2" t="s">
        <v>187</v>
      </c>
      <c r="D62" s="3">
        <v>0</v>
      </c>
      <c r="E62" s="3">
        <v>599</v>
      </c>
      <c r="F62" s="3">
        <v>0</v>
      </c>
      <c r="G62" s="3">
        <v>1770</v>
      </c>
      <c r="H62" s="3">
        <v>0</v>
      </c>
      <c r="I62" s="3">
        <v>0</v>
      </c>
      <c r="J62" s="3">
        <v>0</v>
      </c>
      <c r="K62" s="3">
        <v>0</v>
      </c>
      <c r="L62" s="3">
        <v>500</v>
      </c>
      <c r="M62" s="3">
        <v>0</v>
      </c>
      <c r="N62" s="3">
        <v>55</v>
      </c>
      <c r="O62" s="3">
        <v>0</v>
      </c>
      <c r="P62" s="3">
        <v>0</v>
      </c>
      <c r="Q62" s="3">
        <v>0</v>
      </c>
      <c r="R62" s="3">
        <v>696</v>
      </c>
      <c r="S62" s="3">
        <v>1822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54000</v>
      </c>
      <c r="AA62" s="3">
        <v>0</v>
      </c>
      <c r="AB62" s="3">
        <v>0</v>
      </c>
      <c r="AC62" s="3">
        <v>0</v>
      </c>
      <c r="AD62" s="13">
        <f t="shared" si="0"/>
        <v>4942</v>
      </c>
      <c r="AE62" s="13">
        <f t="shared" si="1"/>
        <v>0</v>
      </c>
      <c r="AF62" s="13">
        <f t="shared" si="2"/>
        <v>54500</v>
      </c>
      <c r="AG62" s="13">
        <f t="shared" si="7"/>
        <v>34436</v>
      </c>
      <c r="AH62" s="13">
        <f t="shared" si="8"/>
        <v>27</v>
      </c>
      <c r="AI62" s="13">
        <f t="shared" si="9"/>
        <v>500916</v>
      </c>
    </row>
    <row r="63" spans="1:35" x14ac:dyDescent="0.25">
      <c r="A63" s="6" t="s">
        <v>179</v>
      </c>
      <c r="B63" s="2">
        <v>9</v>
      </c>
      <c r="C63" s="2" t="s">
        <v>188</v>
      </c>
      <c r="D63" s="3">
        <v>0</v>
      </c>
      <c r="E63" s="3">
        <v>208</v>
      </c>
      <c r="F63" s="3">
        <v>0</v>
      </c>
      <c r="G63" s="3">
        <v>716</v>
      </c>
      <c r="H63" s="3">
        <v>0</v>
      </c>
      <c r="I63" s="3">
        <v>0</v>
      </c>
      <c r="J63" s="3">
        <v>0</v>
      </c>
      <c r="K63" s="3">
        <v>48240</v>
      </c>
      <c r="L63" s="3">
        <v>50925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523</v>
      </c>
      <c r="S63" s="3">
        <v>1138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13">
        <f t="shared" si="0"/>
        <v>2585</v>
      </c>
      <c r="AE63" s="13">
        <f t="shared" si="1"/>
        <v>0</v>
      </c>
      <c r="AF63" s="13">
        <f t="shared" si="2"/>
        <v>99165</v>
      </c>
      <c r="AG63" s="13">
        <f t="shared" si="7"/>
        <v>37021</v>
      </c>
      <c r="AH63" s="13">
        <f t="shared" si="8"/>
        <v>27</v>
      </c>
      <c r="AI63" s="13">
        <f t="shared" si="9"/>
        <v>600081</v>
      </c>
    </row>
    <row r="64" spans="1:35" x14ac:dyDescent="0.25">
      <c r="A64" s="6" t="s">
        <v>179</v>
      </c>
      <c r="B64" s="2">
        <v>10</v>
      </c>
      <c r="C64" s="2" t="s">
        <v>189</v>
      </c>
      <c r="D64" s="3">
        <v>0</v>
      </c>
      <c r="E64" s="3">
        <v>100</v>
      </c>
      <c r="F64" s="3">
        <v>0</v>
      </c>
      <c r="G64" s="3">
        <v>2034</v>
      </c>
      <c r="H64" s="3">
        <v>0</v>
      </c>
      <c r="I64" s="3">
        <v>0</v>
      </c>
      <c r="J64" s="3">
        <v>0</v>
      </c>
      <c r="K64" s="3">
        <v>55000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1259</v>
      </c>
      <c r="S64" s="3">
        <v>986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13">
        <f t="shared" si="0"/>
        <v>4379</v>
      </c>
      <c r="AE64" s="13">
        <f t="shared" si="1"/>
        <v>0</v>
      </c>
      <c r="AF64" s="13">
        <f t="shared" si="2"/>
        <v>55000</v>
      </c>
      <c r="AG64" s="13">
        <f t="shared" si="7"/>
        <v>41400</v>
      </c>
      <c r="AH64" s="13">
        <f t="shared" si="8"/>
        <v>27</v>
      </c>
      <c r="AI64" s="13">
        <f t="shared" si="9"/>
        <v>655081</v>
      </c>
    </row>
    <row r="65" spans="1:35" x14ac:dyDescent="0.25">
      <c r="A65" s="6" t="s">
        <v>179</v>
      </c>
      <c r="B65" s="2">
        <v>11</v>
      </c>
      <c r="C65" s="2" t="s">
        <v>190</v>
      </c>
      <c r="D65" s="3">
        <v>0</v>
      </c>
      <c r="E65" s="3">
        <v>71</v>
      </c>
      <c r="F65" s="3">
        <v>0</v>
      </c>
      <c r="G65" s="3">
        <v>1839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1253</v>
      </c>
      <c r="S65" s="3">
        <v>1143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13">
        <f t="shared" si="0"/>
        <v>4306</v>
      </c>
      <c r="AE65" s="13">
        <f t="shared" si="1"/>
        <v>0</v>
      </c>
      <c r="AF65" s="13">
        <f t="shared" si="2"/>
        <v>0</v>
      </c>
      <c r="AG65" s="13">
        <f t="shared" si="7"/>
        <v>45706</v>
      </c>
      <c r="AH65" s="13">
        <f t="shared" si="8"/>
        <v>27</v>
      </c>
      <c r="AI65" s="13">
        <f t="shared" si="9"/>
        <v>655081</v>
      </c>
    </row>
    <row r="66" spans="1:35" x14ac:dyDescent="0.25">
      <c r="A66" s="6" t="s">
        <v>179</v>
      </c>
      <c r="B66" s="2">
        <v>12</v>
      </c>
      <c r="C66" s="2" t="s">
        <v>191</v>
      </c>
      <c r="D66" s="3">
        <v>0</v>
      </c>
      <c r="E66" s="3">
        <v>0</v>
      </c>
      <c r="F66" s="3">
        <v>0</v>
      </c>
      <c r="G66" s="3">
        <v>2382</v>
      </c>
      <c r="H66" s="3">
        <v>0</v>
      </c>
      <c r="I66" s="3">
        <v>0</v>
      </c>
      <c r="J66" s="3">
        <v>0</v>
      </c>
      <c r="K66" s="3">
        <v>0</v>
      </c>
      <c r="L66" s="3">
        <v>40075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760</v>
      </c>
      <c r="S66" s="3">
        <v>796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55000</v>
      </c>
      <c r="AA66" s="3">
        <v>0</v>
      </c>
      <c r="AB66" s="3">
        <v>0</v>
      </c>
      <c r="AC66" s="3">
        <v>0</v>
      </c>
      <c r="AD66" s="13">
        <f t="shared" ref="AD66:AD129" si="10">E66+S66+N66+G66+R66</f>
        <v>3938</v>
      </c>
      <c r="AE66" s="13">
        <f t="shared" ref="AE66:AE129" si="11">AC66</f>
        <v>0</v>
      </c>
      <c r="AF66" s="13">
        <f t="shared" ref="AF66:AF129" si="12">SUM(D66:AC66)-AD66-AE66</f>
        <v>95075</v>
      </c>
      <c r="AG66" s="13">
        <f t="shared" si="7"/>
        <v>49644</v>
      </c>
      <c r="AH66" s="13">
        <f t="shared" si="8"/>
        <v>27</v>
      </c>
      <c r="AI66" s="13">
        <f t="shared" si="9"/>
        <v>750156</v>
      </c>
    </row>
    <row r="67" spans="1:35" x14ac:dyDescent="0.25">
      <c r="A67" s="6" t="s">
        <v>179</v>
      </c>
      <c r="B67" s="2">
        <v>13</v>
      </c>
      <c r="C67" s="2" t="s">
        <v>192</v>
      </c>
      <c r="D67" s="3">
        <v>0</v>
      </c>
      <c r="E67" s="3">
        <v>232</v>
      </c>
      <c r="F67" s="3">
        <v>0</v>
      </c>
      <c r="G67" s="3">
        <v>2273</v>
      </c>
      <c r="H67" s="3">
        <v>0</v>
      </c>
      <c r="I67" s="3">
        <v>0</v>
      </c>
      <c r="J67" s="3">
        <v>0</v>
      </c>
      <c r="K67" s="3">
        <v>52133</v>
      </c>
      <c r="L67" s="3">
        <v>15950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1010</v>
      </c>
      <c r="S67" s="3">
        <v>1197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13">
        <f t="shared" si="10"/>
        <v>4712</v>
      </c>
      <c r="AE67" s="13">
        <f t="shared" si="11"/>
        <v>0</v>
      </c>
      <c r="AF67" s="13">
        <f t="shared" si="12"/>
        <v>68083</v>
      </c>
      <c r="AG67" s="13">
        <f t="shared" si="7"/>
        <v>54356</v>
      </c>
      <c r="AH67" s="13">
        <f t="shared" si="8"/>
        <v>27</v>
      </c>
      <c r="AI67" s="13">
        <f t="shared" si="9"/>
        <v>818239</v>
      </c>
    </row>
    <row r="68" spans="1:35" x14ac:dyDescent="0.25">
      <c r="A68" s="6" t="s">
        <v>179</v>
      </c>
      <c r="B68" s="2">
        <v>14</v>
      </c>
      <c r="C68" s="2" t="s">
        <v>193</v>
      </c>
      <c r="D68" s="3">
        <v>0</v>
      </c>
      <c r="E68" s="3">
        <v>70</v>
      </c>
      <c r="F68" s="3">
        <v>0</v>
      </c>
      <c r="G68" s="3">
        <v>1998</v>
      </c>
      <c r="H68" s="3">
        <v>0</v>
      </c>
      <c r="I68" s="3">
        <v>0</v>
      </c>
      <c r="J68" s="3">
        <v>0</v>
      </c>
      <c r="K68" s="3">
        <v>0</v>
      </c>
      <c r="L68" s="3">
        <v>55346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315</v>
      </c>
      <c r="S68" s="3">
        <v>1138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18780</v>
      </c>
      <c r="AA68" s="3">
        <v>0</v>
      </c>
      <c r="AB68" s="3">
        <v>0</v>
      </c>
      <c r="AC68" s="3">
        <v>0</v>
      </c>
      <c r="AD68" s="13">
        <f t="shared" si="10"/>
        <v>3521</v>
      </c>
      <c r="AE68" s="13">
        <f t="shared" si="11"/>
        <v>0</v>
      </c>
      <c r="AF68" s="13">
        <f t="shared" si="12"/>
        <v>74126</v>
      </c>
      <c r="AG68" s="13">
        <f t="shared" si="7"/>
        <v>57877</v>
      </c>
      <c r="AH68" s="13">
        <f t="shared" si="8"/>
        <v>27</v>
      </c>
      <c r="AI68" s="13">
        <f t="shared" si="9"/>
        <v>892365</v>
      </c>
    </row>
    <row r="69" spans="1:35" x14ac:dyDescent="0.25">
      <c r="A69" s="6" t="s">
        <v>179</v>
      </c>
      <c r="B69" s="2">
        <v>15</v>
      </c>
      <c r="C69" s="2" t="s">
        <v>194</v>
      </c>
      <c r="D69" s="3">
        <v>0</v>
      </c>
      <c r="E69" s="3">
        <v>0</v>
      </c>
      <c r="F69" s="3">
        <v>0</v>
      </c>
      <c r="G69" s="3">
        <v>1646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409</v>
      </c>
      <c r="S69" s="3">
        <v>779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35106</v>
      </c>
      <c r="AA69" s="3">
        <v>0</v>
      </c>
      <c r="AB69" s="3">
        <v>0</v>
      </c>
      <c r="AC69" s="3">
        <v>0</v>
      </c>
      <c r="AD69" s="13">
        <f t="shared" si="10"/>
        <v>2834</v>
      </c>
      <c r="AE69" s="13">
        <f t="shared" si="11"/>
        <v>0</v>
      </c>
      <c r="AF69" s="13">
        <f t="shared" si="12"/>
        <v>35106</v>
      </c>
      <c r="AG69" s="13">
        <f t="shared" si="7"/>
        <v>60711</v>
      </c>
      <c r="AH69" s="13">
        <f t="shared" si="8"/>
        <v>27</v>
      </c>
      <c r="AI69" s="13">
        <f t="shared" si="9"/>
        <v>927471</v>
      </c>
    </row>
    <row r="70" spans="1:35" x14ac:dyDescent="0.25">
      <c r="A70" s="6" t="s">
        <v>179</v>
      </c>
      <c r="B70" s="2">
        <v>16</v>
      </c>
      <c r="C70" s="2" t="s">
        <v>195</v>
      </c>
      <c r="D70" s="3">
        <v>0</v>
      </c>
      <c r="E70" s="3">
        <v>0</v>
      </c>
      <c r="F70" s="3">
        <v>0</v>
      </c>
      <c r="G70" s="3">
        <v>1193</v>
      </c>
      <c r="H70" s="3">
        <v>0</v>
      </c>
      <c r="I70" s="3">
        <v>0</v>
      </c>
      <c r="J70" s="3">
        <v>0</v>
      </c>
      <c r="K70" s="3">
        <v>61911</v>
      </c>
      <c r="L70" s="3">
        <v>0</v>
      </c>
      <c r="M70" s="3">
        <v>0</v>
      </c>
      <c r="N70" s="3">
        <v>12</v>
      </c>
      <c r="O70" s="3">
        <v>0</v>
      </c>
      <c r="P70" s="3">
        <v>0</v>
      </c>
      <c r="Q70" s="3">
        <v>0</v>
      </c>
      <c r="R70" s="3">
        <v>637</v>
      </c>
      <c r="S70" s="3">
        <v>1055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13">
        <f t="shared" si="10"/>
        <v>2897</v>
      </c>
      <c r="AE70" s="13">
        <f t="shared" si="11"/>
        <v>0</v>
      </c>
      <c r="AF70" s="13">
        <f t="shared" si="12"/>
        <v>61911</v>
      </c>
      <c r="AG70" s="13">
        <f t="shared" si="7"/>
        <v>63608</v>
      </c>
      <c r="AH70" s="13">
        <f t="shared" si="8"/>
        <v>27</v>
      </c>
      <c r="AI70" s="13">
        <f t="shared" si="9"/>
        <v>989382</v>
      </c>
    </row>
    <row r="71" spans="1:35" x14ac:dyDescent="0.25">
      <c r="A71" s="6" t="s">
        <v>179</v>
      </c>
      <c r="B71" s="2">
        <v>17</v>
      </c>
      <c r="C71" s="2" t="s">
        <v>196</v>
      </c>
      <c r="D71" s="3">
        <v>0</v>
      </c>
      <c r="E71" s="3">
        <v>241</v>
      </c>
      <c r="F71" s="3">
        <v>0</v>
      </c>
      <c r="G71" s="3">
        <v>1957</v>
      </c>
      <c r="H71" s="3">
        <v>0</v>
      </c>
      <c r="I71" s="3">
        <v>0</v>
      </c>
      <c r="J71" s="3">
        <v>0</v>
      </c>
      <c r="K71" s="3">
        <v>85190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279</v>
      </c>
      <c r="S71" s="3">
        <v>1586</v>
      </c>
      <c r="T71" s="3">
        <v>0</v>
      </c>
      <c r="U71" s="3">
        <v>0</v>
      </c>
      <c r="V71" s="3">
        <v>0</v>
      </c>
      <c r="W71" s="3">
        <v>549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13">
        <f t="shared" si="10"/>
        <v>4063</v>
      </c>
      <c r="AE71" s="13">
        <f t="shared" si="11"/>
        <v>0</v>
      </c>
      <c r="AF71" s="13">
        <f t="shared" si="12"/>
        <v>85739</v>
      </c>
      <c r="AG71" s="13">
        <f t="shared" si="7"/>
        <v>67671</v>
      </c>
      <c r="AH71" s="13">
        <f t="shared" si="8"/>
        <v>27</v>
      </c>
      <c r="AI71" s="13">
        <f t="shared" si="9"/>
        <v>1075121</v>
      </c>
    </row>
    <row r="72" spans="1:35" x14ac:dyDescent="0.25">
      <c r="A72" s="6" t="s">
        <v>179</v>
      </c>
      <c r="B72" s="2">
        <v>18</v>
      </c>
      <c r="C72" s="2" t="s">
        <v>197</v>
      </c>
      <c r="D72" s="3">
        <v>0</v>
      </c>
      <c r="E72" s="3">
        <v>0</v>
      </c>
      <c r="F72" s="3">
        <v>0</v>
      </c>
      <c r="G72" s="3">
        <v>1576</v>
      </c>
      <c r="H72" s="3">
        <v>0</v>
      </c>
      <c r="I72" s="3">
        <v>0</v>
      </c>
      <c r="J72" s="3">
        <v>0</v>
      </c>
      <c r="K72" s="3">
        <v>101747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620</v>
      </c>
      <c r="S72" s="3">
        <v>849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13">
        <f t="shared" si="10"/>
        <v>3045</v>
      </c>
      <c r="AE72" s="13">
        <f t="shared" si="11"/>
        <v>0</v>
      </c>
      <c r="AF72" s="13">
        <f t="shared" si="12"/>
        <v>101747</v>
      </c>
      <c r="AG72" s="13">
        <f t="shared" si="7"/>
        <v>70716</v>
      </c>
      <c r="AH72" s="13">
        <f t="shared" si="8"/>
        <v>27</v>
      </c>
      <c r="AI72" s="13">
        <f t="shared" si="9"/>
        <v>1176868</v>
      </c>
    </row>
    <row r="73" spans="1:35" x14ac:dyDescent="0.25">
      <c r="A73" s="6" t="s">
        <v>179</v>
      </c>
      <c r="B73" s="2">
        <v>19</v>
      </c>
      <c r="C73" s="2" t="s">
        <v>198</v>
      </c>
      <c r="D73" s="3">
        <v>991</v>
      </c>
      <c r="E73" s="3">
        <v>68</v>
      </c>
      <c r="F73" s="3">
        <v>0</v>
      </c>
      <c r="G73" s="3">
        <v>1361</v>
      </c>
      <c r="H73" s="3">
        <v>0</v>
      </c>
      <c r="I73" s="3">
        <v>0</v>
      </c>
      <c r="J73" s="3">
        <v>0</v>
      </c>
      <c r="K73" s="3">
        <v>6370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1350</v>
      </c>
      <c r="S73" s="3">
        <v>709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52010</v>
      </c>
      <c r="AA73" s="3">
        <v>0</v>
      </c>
      <c r="AB73" s="3">
        <v>0</v>
      </c>
      <c r="AC73" s="3">
        <v>0</v>
      </c>
      <c r="AD73" s="13">
        <f t="shared" si="10"/>
        <v>3488</v>
      </c>
      <c r="AE73" s="13">
        <f t="shared" si="11"/>
        <v>0</v>
      </c>
      <c r="AF73" s="13">
        <f t="shared" si="12"/>
        <v>59371</v>
      </c>
      <c r="AG73" s="13">
        <f t="shared" si="7"/>
        <v>74204</v>
      </c>
      <c r="AH73" s="13">
        <f t="shared" si="8"/>
        <v>27</v>
      </c>
      <c r="AI73" s="13">
        <f t="shared" si="9"/>
        <v>1236239</v>
      </c>
    </row>
    <row r="74" spans="1:35" x14ac:dyDescent="0.25">
      <c r="A74" s="6" t="s">
        <v>179</v>
      </c>
      <c r="B74" s="2">
        <v>20</v>
      </c>
      <c r="C74" s="2" t="s">
        <v>199</v>
      </c>
      <c r="D74" s="3">
        <v>0</v>
      </c>
      <c r="E74" s="3">
        <v>0</v>
      </c>
      <c r="F74" s="3">
        <v>0</v>
      </c>
      <c r="G74" s="3">
        <v>1828</v>
      </c>
      <c r="H74" s="3">
        <v>0</v>
      </c>
      <c r="I74" s="3">
        <v>0</v>
      </c>
      <c r="J74" s="3">
        <v>0</v>
      </c>
      <c r="K74" s="3">
        <v>82796</v>
      </c>
      <c r="L74" s="3">
        <v>249</v>
      </c>
      <c r="M74" s="3">
        <v>0</v>
      </c>
      <c r="N74" s="3">
        <v>9</v>
      </c>
      <c r="O74" s="3">
        <v>0</v>
      </c>
      <c r="P74" s="3">
        <v>0</v>
      </c>
      <c r="Q74" s="3">
        <v>0</v>
      </c>
      <c r="R74" s="3">
        <v>1722</v>
      </c>
      <c r="S74" s="3">
        <v>393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6056</v>
      </c>
      <c r="AA74" s="3">
        <v>0</v>
      </c>
      <c r="AB74" s="3">
        <v>0</v>
      </c>
      <c r="AC74" s="3">
        <v>0</v>
      </c>
      <c r="AD74" s="13">
        <f t="shared" si="10"/>
        <v>3952</v>
      </c>
      <c r="AE74" s="13">
        <f t="shared" si="11"/>
        <v>0</v>
      </c>
      <c r="AF74" s="13">
        <f t="shared" si="12"/>
        <v>89101</v>
      </c>
      <c r="AG74" s="13">
        <f t="shared" si="7"/>
        <v>78156</v>
      </c>
      <c r="AH74" s="13">
        <f t="shared" si="8"/>
        <v>27</v>
      </c>
      <c r="AI74" s="13">
        <f t="shared" si="9"/>
        <v>1325340</v>
      </c>
    </row>
    <row r="75" spans="1:35" x14ac:dyDescent="0.25">
      <c r="A75" s="6" t="s">
        <v>179</v>
      </c>
      <c r="B75" s="2">
        <v>21</v>
      </c>
      <c r="C75" s="2" t="s">
        <v>200</v>
      </c>
      <c r="D75" s="3">
        <v>0</v>
      </c>
      <c r="E75" s="3">
        <v>276</v>
      </c>
      <c r="F75" s="3">
        <v>0</v>
      </c>
      <c r="G75" s="3">
        <v>1316</v>
      </c>
      <c r="H75" s="3">
        <v>0</v>
      </c>
      <c r="I75" s="3">
        <v>0</v>
      </c>
      <c r="J75" s="3">
        <v>0</v>
      </c>
      <c r="K75" s="3">
        <v>19755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1457</v>
      </c>
      <c r="S75" s="3">
        <v>1280</v>
      </c>
      <c r="T75" s="3">
        <v>0</v>
      </c>
      <c r="U75" s="3">
        <v>0</v>
      </c>
      <c r="V75" s="3">
        <v>0</v>
      </c>
      <c r="W75" s="3">
        <v>0</v>
      </c>
      <c r="X75" s="3">
        <v>434</v>
      </c>
      <c r="Y75" s="3">
        <v>0</v>
      </c>
      <c r="Z75" s="3">
        <v>3074</v>
      </c>
      <c r="AA75" s="3">
        <v>0</v>
      </c>
      <c r="AB75" s="3">
        <v>0</v>
      </c>
      <c r="AC75" s="3">
        <v>0</v>
      </c>
      <c r="AD75" s="13">
        <f t="shared" si="10"/>
        <v>4329</v>
      </c>
      <c r="AE75" s="13">
        <f t="shared" si="11"/>
        <v>0</v>
      </c>
      <c r="AF75" s="13">
        <f t="shared" si="12"/>
        <v>23263</v>
      </c>
      <c r="AG75" s="13">
        <f t="shared" si="7"/>
        <v>82485</v>
      </c>
      <c r="AH75" s="13">
        <f t="shared" si="8"/>
        <v>27</v>
      </c>
      <c r="AI75" s="13">
        <f t="shared" si="9"/>
        <v>1348603</v>
      </c>
    </row>
    <row r="76" spans="1:35" x14ac:dyDescent="0.25">
      <c r="A76" s="6" t="s">
        <v>179</v>
      </c>
      <c r="B76" s="2">
        <v>22</v>
      </c>
      <c r="C76" s="2" t="s">
        <v>201</v>
      </c>
      <c r="D76" s="3">
        <v>0</v>
      </c>
      <c r="E76" s="3">
        <v>68</v>
      </c>
      <c r="F76" s="3">
        <v>0</v>
      </c>
      <c r="G76" s="3">
        <v>1868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604</v>
      </c>
      <c r="S76" s="3">
        <v>1126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46821</v>
      </c>
      <c r="AA76" s="3">
        <v>0</v>
      </c>
      <c r="AB76" s="3">
        <v>0</v>
      </c>
      <c r="AC76" s="3">
        <v>0</v>
      </c>
      <c r="AD76" s="13">
        <f t="shared" si="10"/>
        <v>3666</v>
      </c>
      <c r="AE76" s="13">
        <f t="shared" si="11"/>
        <v>0</v>
      </c>
      <c r="AF76" s="13">
        <f t="shared" si="12"/>
        <v>46821</v>
      </c>
      <c r="AG76" s="13">
        <f t="shared" si="7"/>
        <v>86151</v>
      </c>
      <c r="AH76" s="13">
        <f t="shared" si="8"/>
        <v>27</v>
      </c>
      <c r="AI76" s="13">
        <f t="shared" si="9"/>
        <v>1395424</v>
      </c>
    </row>
    <row r="77" spans="1:35" x14ac:dyDescent="0.25">
      <c r="A77" s="6" t="s">
        <v>179</v>
      </c>
      <c r="B77" s="2">
        <v>23</v>
      </c>
      <c r="C77" s="2" t="s">
        <v>202</v>
      </c>
      <c r="D77" s="3">
        <v>1000</v>
      </c>
      <c r="E77" s="3">
        <v>0</v>
      </c>
      <c r="F77" s="3">
        <v>0</v>
      </c>
      <c r="G77" s="3">
        <v>2336</v>
      </c>
      <c r="H77" s="3">
        <v>0</v>
      </c>
      <c r="I77" s="3">
        <v>0</v>
      </c>
      <c r="J77" s="3">
        <v>0</v>
      </c>
      <c r="K77" s="3">
        <v>0</v>
      </c>
      <c r="L77" s="3">
        <v>46821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1055</v>
      </c>
      <c r="S77" s="3">
        <v>764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30290</v>
      </c>
      <c r="AA77" s="3">
        <v>0</v>
      </c>
      <c r="AB77" s="3">
        <v>0</v>
      </c>
      <c r="AC77" s="3">
        <v>0</v>
      </c>
      <c r="AD77" s="13">
        <f t="shared" si="10"/>
        <v>4155</v>
      </c>
      <c r="AE77" s="13">
        <f t="shared" si="11"/>
        <v>0</v>
      </c>
      <c r="AF77" s="13">
        <f t="shared" si="12"/>
        <v>78111</v>
      </c>
      <c r="AG77" s="13">
        <f t="shared" si="7"/>
        <v>90306</v>
      </c>
      <c r="AH77" s="13">
        <f t="shared" si="8"/>
        <v>27</v>
      </c>
      <c r="AI77" s="13">
        <f t="shared" si="9"/>
        <v>1473535</v>
      </c>
    </row>
    <row r="78" spans="1:35" x14ac:dyDescent="0.25">
      <c r="A78" s="6" t="s">
        <v>179</v>
      </c>
      <c r="B78" s="2">
        <v>24</v>
      </c>
      <c r="C78" s="2" t="s">
        <v>203</v>
      </c>
      <c r="D78" s="3">
        <v>34</v>
      </c>
      <c r="E78" s="3">
        <v>0</v>
      </c>
      <c r="F78" s="3">
        <v>0</v>
      </c>
      <c r="G78" s="3">
        <v>2600</v>
      </c>
      <c r="H78" s="3">
        <v>0</v>
      </c>
      <c r="I78" s="3">
        <v>9505</v>
      </c>
      <c r="J78" s="3">
        <v>0</v>
      </c>
      <c r="K78" s="3">
        <v>0</v>
      </c>
      <c r="L78" s="3">
        <v>9923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1654</v>
      </c>
      <c r="S78" s="3">
        <v>490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24060</v>
      </c>
      <c r="AA78" s="3">
        <v>0</v>
      </c>
      <c r="AB78" s="3">
        <v>0</v>
      </c>
      <c r="AC78" s="3">
        <v>0</v>
      </c>
      <c r="AD78" s="13">
        <f t="shared" si="10"/>
        <v>4744</v>
      </c>
      <c r="AE78" s="13">
        <f t="shared" si="11"/>
        <v>0</v>
      </c>
      <c r="AF78" s="13">
        <f t="shared" si="12"/>
        <v>43522</v>
      </c>
      <c r="AG78" s="13">
        <f t="shared" si="7"/>
        <v>95050</v>
      </c>
      <c r="AH78" s="13">
        <f t="shared" si="8"/>
        <v>27</v>
      </c>
      <c r="AI78" s="13">
        <f t="shared" si="9"/>
        <v>1517057</v>
      </c>
    </row>
    <row r="79" spans="1:35" x14ac:dyDescent="0.25">
      <c r="A79" s="6" t="s">
        <v>179</v>
      </c>
      <c r="B79" s="2">
        <v>25</v>
      </c>
      <c r="C79" s="2" t="s">
        <v>204</v>
      </c>
      <c r="D79" s="3">
        <v>0</v>
      </c>
      <c r="E79" s="3">
        <v>67</v>
      </c>
      <c r="F79" s="3">
        <v>0</v>
      </c>
      <c r="G79" s="3">
        <v>2462</v>
      </c>
      <c r="H79" s="3">
        <v>0</v>
      </c>
      <c r="I79" s="3">
        <v>0</v>
      </c>
      <c r="J79" s="3">
        <v>0</v>
      </c>
      <c r="K79" s="3">
        <v>52155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754</v>
      </c>
      <c r="S79" s="3">
        <v>402</v>
      </c>
      <c r="T79" s="3">
        <v>0</v>
      </c>
      <c r="U79" s="3">
        <v>0</v>
      </c>
      <c r="V79" s="3">
        <v>0</v>
      </c>
      <c r="W79" s="3">
        <v>0</v>
      </c>
      <c r="X79" s="3">
        <v>335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13">
        <f t="shared" si="10"/>
        <v>3685</v>
      </c>
      <c r="AE79" s="13">
        <f t="shared" si="11"/>
        <v>0</v>
      </c>
      <c r="AF79" s="13">
        <f t="shared" si="12"/>
        <v>52490</v>
      </c>
      <c r="AG79" s="13">
        <f t="shared" si="7"/>
        <v>98735</v>
      </c>
      <c r="AH79" s="13">
        <f t="shared" si="8"/>
        <v>27</v>
      </c>
      <c r="AI79" s="13">
        <f t="shared" si="9"/>
        <v>1569547</v>
      </c>
    </row>
    <row r="80" spans="1:35" x14ac:dyDescent="0.25">
      <c r="A80" s="6" t="s">
        <v>179</v>
      </c>
      <c r="B80" s="2">
        <v>26</v>
      </c>
      <c r="C80" s="2" t="s">
        <v>205</v>
      </c>
      <c r="D80" s="3">
        <v>102</v>
      </c>
      <c r="E80" s="3">
        <v>533</v>
      </c>
      <c r="F80" s="3">
        <v>0</v>
      </c>
      <c r="G80" s="3">
        <v>2843</v>
      </c>
      <c r="H80" s="3">
        <v>0</v>
      </c>
      <c r="I80" s="3">
        <v>0</v>
      </c>
      <c r="J80" s="3">
        <v>0</v>
      </c>
      <c r="K80" s="3">
        <v>52460</v>
      </c>
      <c r="L80" s="3">
        <v>17023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792</v>
      </c>
      <c r="S80" s="3">
        <v>926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13">
        <f t="shared" si="10"/>
        <v>5094</v>
      </c>
      <c r="AE80" s="13">
        <f t="shared" si="11"/>
        <v>0</v>
      </c>
      <c r="AF80" s="13">
        <f t="shared" si="12"/>
        <v>69585</v>
      </c>
      <c r="AG80" s="13">
        <f t="shared" si="7"/>
        <v>103829</v>
      </c>
      <c r="AH80" s="13">
        <f t="shared" si="8"/>
        <v>27</v>
      </c>
      <c r="AI80" s="13">
        <f t="shared" si="9"/>
        <v>1639132</v>
      </c>
    </row>
    <row r="81" spans="1:35" x14ac:dyDescent="0.25">
      <c r="A81" s="6" t="s">
        <v>179</v>
      </c>
      <c r="B81" s="2">
        <v>27</v>
      </c>
      <c r="C81" s="2" t="s">
        <v>206</v>
      </c>
      <c r="D81" s="3">
        <v>68</v>
      </c>
      <c r="E81" s="3">
        <v>34</v>
      </c>
      <c r="F81" s="3">
        <v>0</v>
      </c>
      <c r="G81" s="3">
        <v>1577</v>
      </c>
      <c r="H81" s="3">
        <v>0</v>
      </c>
      <c r="I81" s="3">
        <v>0</v>
      </c>
      <c r="J81" s="3">
        <v>0</v>
      </c>
      <c r="K81" s="3">
        <v>0</v>
      </c>
      <c r="L81" s="3">
        <v>36118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1214</v>
      </c>
      <c r="S81" s="3">
        <v>736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13">
        <f t="shared" si="10"/>
        <v>3561</v>
      </c>
      <c r="AE81" s="13">
        <f t="shared" si="11"/>
        <v>0</v>
      </c>
      <c r="AF81" s="13">
        <f t="shared" si="12"/>
        <v>36186</v>
      </c>
      <c r="AG81" s="13">
        <f t="shared" si="7"/>
        <v>107390</v>
      </c>
      <c r="AH81" s="13">
        <f t="shared" si="8"/>
        <v>27</v>
      </c>
      <c r="AI81" s="13">
        <f t="shared" si="9"/>
        <v>1675318</v>
      </c>
    </row>
    <row r="82" spans="1:35" x14ac:dyDescent="0.25">
      <c r="A82" s="6" t="s">
        <v>179</v>
      </c>
      <c r="B82" s="2">
        <v>28</v>
      </c>
      <c r="C82" s="2" t="s">
        <v>207</v>
      </c>
      <c r="D82" s="3">
        <v>1013</v>
      </c>
      <c r="E82" s="3">
        <v>0</v>
      </c>
      <c r="F82" s="3">
        <v>0</v>
      </c>
      <c r="G82" s="3">
        <v>2049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1367</v>
      </c>
      <c r="S82" s="3">
        <v>815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54550</v>
      </c>
      <c r="AA82" s="3">
        <v>0</v>
      </c>
      <c r="AB82" s="3">
        <v>0</v>
      </c>
      <c r="AC82" s="3">
        <v>0</v>
      </c>
      <c r="AD82" s="13">
        <f t="shared" si="10"/>
        <v>4231</v>
      </c>
      <c r="AE82" s="13">
        <f t="shared" si="11"/>
        <v>0</v>
      </c>
      <c r="AF82" s="13">
        <f t="shared" si="12"/>
        <v>55563</v>
      </c>
      <c r="AG82" s="13">
        <f t="shared" si="7"/>
        <v>111621</v>
      </c>
      <c r="AH82" s="13">
        <f t="shared" si="8"/>
        <v>27</v>
      </c>
      <c r="AI82" s="13">
        <f t="shared" si="9"/>
        <v>1730881</v>
      </c>
    </row>
    <row r="83" spans="1:35" x14ac:dyDescent="0.25">
      <c r="A83" s="6" t="s">
        <v>179</v>
      </c>
      <c r="B83" s="2">
        <v>29</v>
      </c>
      <c r="C83" s="2" t="s">
        <v>208</v>
      </c>
      <c r="D83" s="3">
        <v>34</v>
      </c>
      <c r="E83" s="3">
        <v>68</v>
      </c>
      <c r="F83" s="3">
        <v>0</v>
      </c>
      <c r="G83" s="3">
        <v>2560</v>
      </c>
      <c r="H83" s="3">
        <v>0</v>
      </c>
      <c r="I83" s="3">
        <v>0</v>
      </c>
      <c r="J83" s="3">
        <v>0</v>
      </c>
      <c r="K83" s="3">
        <v>23937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1180</v>
      </c>
      <c r="S83" s="3">
        <v>960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13">
        <f t="shared" si="10"/>
        <v>4768</v>
      </c>
      <c r="AE83" s="13">
        <f t="shared" si="11"/>
        <v>0</v>
      </c>
      <c r="AF83" s="13">
        <f t="shared" si="12"/>
        <v>23971</v>
      </c>
      <c r="AG83" s="13">
        <f t="shared" si="7"/>
        <v>116389</v>
      </c>
      <c r="AH83" s="13">
        <f t="shared" si="8"/>
        <v>27</v>
      </c>
      <c r="AI83" s="13">
        <f t="shared" si="9"/>
        <v>1754852</v>
      </c>
    </row>
    <row r="84" spans="1:35" x14ac:dyDescent="0.25">
      <c r="A84" s="6" t="s">
        <v>179</v>
      </c>
      <c r="B84" s="2">
        <v>30</v>
      </c>
      <c r="C84" s="2" t="s">
        <v>209</v>
      </c>
      <c r="D84" s="3">
        <v>102</v>
      </c>
      <c r="E84" s="3">
        <v>717</v>
      </c>
      <c r="F84" s="3">
        <v>0</v>
      </c>
      <c r="G84" s="3">
        <v>2473</v>
      </c>
      <c r="H84" s="3">
        <v>0</v>
      </c>
      <c r="I84" s="3">
        <v>0</v>
      </c>
      <c r="J84" s="3">
        <v>0</v>
      </c>
      <c r="K84" s="3">
        <v>53428</v>
      </c>
      <c r="L84" s="3">
        <v>0</v>
      </c>
      <c r="M84" s="3">
        <v>0</v>
      </c>
      <c r="N84" s="3">
        <v>17</v>
      </c>
      <c r="O84" s="3">
        <v>0</v>
      </c>
      <c r="P84" s="3">
        <v>0</v>
      </c>
      <c r="Q84" s="3">
        <v>0</v>
      </c>
      <c r="R84" s="3">
        <v>1328</v>
      </c>
      <c r="S84" s="3">
        <v>1564</v>
      </c>
      <c r="T84" s="3">
        <v>0</v>
      </c>
      <c r="U84" s="3">
        <v>0</v>
      </c>
      <c r="V84" s="3">
        <v>0</v>
      </c>
      <c r="W84" s="3">
        <v>1116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13">
        <f t="shared" si="10"/>
        <v>6099</v>
      </c>
      <c r="AE84" s="13">
        <f t="shared" si="11"/>
        <v>0</v>
      </c>
      <c r="AF84" s="13">
        <f t="shared" si="12"/>
        <v>54646</v>
      </c>
      <c r="AG84" s="13">
        <f t="shared" si="7"/>
        <v>122488</v>
      </c>
      <c r="AH84" s="13">
        <f t="shared" si="8"/>
        <v>27</v>
      </c>
      <c r="AI84" s="13">
        <f t="shared" si="9"/>
        <v>1809498</v>
      </c>
    </row>
    <row r="85" spans="1:35" x14ac:dyDescent="0.25">
      <c r="A85" s="6" t="s">
        <v>179</v>
      </c>
      <c r="B85" s="2">
        <v>31</v>
      </c>
      <c r="C85" s="2" t="s">
        <v>210</v>
      </c>
      <c r="D85" s="3">
        <v>34</v>
      </c>
      <c r="E85" s="3">
        <v>0</v>
      </c>
      <c r="F85" s="3">
        <v>0</v>
      </c>
      <c r="G85" s="3">
        <v>1998</v>
      </c>
      <c r="H85" s="3">
        <v>0</v>
      </c>
      <c r="I85" s="3">
        <v>0</v>
      </c>
      <c r="J85" s="3">
        <v>0</v>
      </c>
      <c r="K85" s="3">
        <v>28298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713</v>
      </c>
      <c r="S85" s="3">
        <v>329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45262</v>
      </c>
      <c r="AA85" s="3">
        <v>0</v>
      </c>
      <c r="AB85" s="3">
        <v>0</v>
      </c>
      <c r="AC85" s="3">
        <v>0</v>
      </c>
      <c r="AD85" s="13">
        <f t="shared" si="10"/>
        <v>3040</v>
      </c>
      <c r="AE85" s="13">
        <f t="shared" si="11"/>
        <v>0</v>
      </c>
      <c r="AF85" s="13">
        <f t="shared" si="12"/>
        <v>73594</v>
      </c>
      <c r="AG85" s="13">
        <f t="shared" si="7"/>
        <v>125528</v>
      </c>
      <c r="AH85" s="13">
        <f t="shared" si="8"/>
        <v>27</v>
      </c>
      <c r="AI85" s="13">
        <f t="shared" si="9"/>
        <v>1883092</v>
      </c>
    </row>
    <row r="86" spans="1:35" x14ac:dyDescent="0.25">
      <c r="A86" s="6" t="s">
        <v>179</v>
      </c>
      <c r="B86" s="2">
        <v>32</v>
      </c>
      <c r="C86" s="2" t="s">
        <v>211</v>
      </c>
      <c r="D86" s="3">
        <v>34</v>
      </c>
      <c r="E86" s="3">
        <v>97</v>
      </c>
      <c r="F86" s="3">
        <v>0</v>
      </c>
      <c r="G86" s="3">
        <v>2577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1005</v>
      </c>
      <c r="S86" s="3">
        <v>106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17913</v>
      </c>
      <c r="AA86" s="3">
        <v>0</v>
      </c>
      <c r="AB86" s="3">
        <v>0</v>
      </c>
      <c r="AC86" s="3">
        <v>0</v>
      </c>
      <c r="AD86" s="13">
        <f t="shared" si="10"/>
        <v>3785</v>
      </c>
      <c r="AE86" s="13">
        <f t="shared" si="11"/>
        <v>0</v>
      </c>
      <c r="AF86" s="13">
        <f t="shared" si="12"/>
        <v>17947</v>
      </c>
      <c r="AG86" s="13">
        <f t="shared" si="7"/>
        <v>129313</v>
      </c>
      <c r="AH86" s="13">
        <f t="shared" si="8"/>
        <v>27</v>
      </c>
      <c r="AI86" s="13">
        <f t="shared" si="9"/>
        <v>1901039</v>
      </c>
    </row>
    <row r="87" spans="1:35" x14ac:dyDescent="0.25">
      <c r="A87" s="6" t="s">
        <v>179</v>
      </c>
      <c r="B87" s="2">
        <v>33</v>
      </c>
      <c r="C87" s="2" t="s">
        <v>212</v>
      </c>
      <c r="D87" s="3">
        <v>992</v>
      </c>
      <c r="E87" s="3">
        <v>28</v>
      </c>
      <c r="F87" s="3">
        <v>0</v>
      </c>
      <c r="G87" s="3">
        <v>1953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803</v>
      </c>
      <c r="S87" s="3">
        <v>276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46758</v>
      </c>
      <c r="AA87" s="3">
        <v>20656</v>
      </c>
      <c r="AB87" s="3">
        <v>0</v>
      </c>
      <c r="AC87" s="3">
        <v>0</v>
      </c>
      <c r="AD87" s="13">
        <f t="shared" si="10"/>
        <v>3060</v>
      </c>
      <c r="AE87" s="13">
        <f t="shared" si="11"/>
        <v>0</v>
      </c>
      <c r="AF87" s="13">
        <f t="shared" si="12"/>
        <v>68406</v>
      </c>
      <c r="AG87" s="13">
        <f t="shared" si="7"/>
        <v>132373</v>
      </c>
      <c r="AH87" s="13">
        <f t="shared" si="8"/>
        <v>27</v>
      </c>
      <c r="AI87" s="13">
        <f t="shared" si="9"/>
        <v>1969445</v>
      </c>
    </row>
    <row r="88" spans="1:35" x14ac:dyDescent="0.25">
      <c r="A88" s="6" t="s">
        <v>179</v>
      </c>
      <c r="B88" s="2">
        <v>34</v>
      </c>
      <c r="C88" s="2" t="s">
        <v>213</v>
      </c>
      <c r="D88" s="3">
        <v>125</v>
      </c>
      <c r="E88" s="3">
        <v>0</v>
      </c>
      <c r="F88" s="3">
        <v>0</v>
      </c>
      <c r="G88" s="3">
        <v>1773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718</v>
      </c>
      <c r="S88" s="3">
        <v>427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31844</v>
      </c>
      <c r="AB88" s="3">
        <v>0</v>
      </c>
      <c r="AC88" s="3">
        <v>0</v>
      </c>
      <c r="AD88" s="13">
        <f t="shared" si="10"/>
        <v>2918</v>
      </c>
      <c r="AE88" s="13">
        <f t="shared" si="11"/>
        <v>0</v>
      </c>
      <c r="AF88" s="13">
        <f t="shared" si="12"/>
        <v>31969</v>
      </c>
      <c r="AG88" s="13">
        <f t="shared" si="7"/>
        <v>135291</v>
      </c>
      <c r="AH88" s="13">
        <f t="shared" si="8"/>
        <v>27</v>
      </c>
      <c r="AI88" s="13">
        <f t="shared" si="9"/>
        <v>2001414</v>
      </c>
    </row>
    <row r="89" spans="1:35" x14ac:dyDescent="0.25">
      <c r="A89" s="6" t="s">
        <v>179</v>
      </c>
      <c r="B89" s="2">
        <v>35</v>
      </c>
      <c r="C89" s="2" t="s">
        <v>214</v>
      </c>
      <c r="D89" s="3">
        <v>1013</v>
      </c>
      <c r="E89" s="3">
        <v>317</v>
      </c>
      <c r="F89" s="3">
        <v>0</v>
      </c>
      <c r="G89" s="3">
        <v>1798</v>
      </c>
      <c r="H89" s="3">
        <v>0</v>
      </c>
      <c r="I89" s="3">
        <v>0</v>
      </c>
      <c r="J89" s="3">
        <v>0</v>
      </c>
      <c r="K89" s="3">
        <v>0</v>
      </c>
      <c r="L89" s="3">
        <v>124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232</v>
      </c>
      <c r="S89" s="3">
        <v>677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13">
        <f t="shared" si="10"/>
        <v>3024</v>
      </c>
      <c r="AE89" s="13">
        <f t="shared" si="11"/>
        <v>0</v>
      </c>
      <c r="AF89" s="13">
        <f t="shared" si="12"/>
        <v>1137</v>
      </c>
      <c r="AG89" s="13">
        <f t="shared" si="7"/>
        <v>138315</v>
      </c>
      <c r="AH89" s="13">
        <f t="shared" si="8"/>
        <v>27</v>
      </c>
      <c r="AI89" s="13">
        <f t="shared" si="9"/>
        <v>2002551</v>
      </c>
    </row>
    <row r="90" spans="1:35" x14ac:dyDescent="0.25">
      <c r="A90" s="6" t="s">
        <v>179</v>
      </c>
      <c r="B90" s="2">
        <v>36</v>
      </c>
      <c r="C90" s="2" t="s">
        <v>215</v>
      </c>
      <c r="D90" s="3">
        <v>68</v>
      </c>
      <c r="E90" s="3">
        <v>31</v>
      </c>
      <c r="F90" s="3">
        <v>0</v>
      </c>
      <c r="G90" s="3">
        <v>1944</v>
      </c>
      <c r="H90" s="3">
        <v>0</v>
      </c>
      <c r="I90" s="3">
        <v>0</v>
      </c>
      <c r="J90" s="3">
        <v>0</v>
      </c>
      <c r="K90" s="3">
        <v>0</v>
      </c>
      <c r="L90" s="3">
        <v>371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666</v>
      </c>
      <c r="S90" s="3">
        <v>727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13">
        <f t="shared" si="10"/>
        <v>3368</v>
      </c>
      <c r="AE90" s="13">
        <f t="shared" si="11"/>
        <v>0</v>
      </c>
      <c r="AF90" s="13">
        <f t="shared" si="12"/>
        <v>439</v>
      </c>
      <c r="AG90" s="13">
        <f t="shared" si="7"/>
        <v>141683</v>
      </c>
      <c r="AH90" s="13">
        <f t="shared" si="8"/>
        <v>27</v>
      </c>
      <c r="AI90" s="13">
        <f t="shared" si="9"/>
        <v>2002990</v>
      </c>
    </row>
    <row r="91" spans="1:35" x14ac:dyDescent="0.25">
      <c r="A91" s="6" t="s">
        <v>179</v>
      </c>
      <c r="B91" s="2">
        <v>37</v>
      </c>
      <c r="C91" s="2" t="s">
        <v>216</v>
      </c>
      <c r="D91" s="3">
        <v>238</v>
      </c>
      <c r="E91" s="3">
        <v>160</v>
      </c>
      <c r="F91" s="3">
        <v>0</v>
      </c>
      <c r="G91" s="3">
        <v>2430</v>
      </c>
      <c r="H91" s="3">
        <v>0</v>
      </c>
      <c r="I91" s="3">
        <v>0</v>
      </c>
      <c r="J91" s="3">
        <v>0</v>
      </c>
      <c r="K91" s="3">
        <v>0</v>
      </c>
      <c r="L91" s="3">
        <v>248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517</v>
      </c>
      <c r="S91" s="3">
        <v>866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13">
        <f t="shared" si="10"/>
        <v>3973</v>
      </c>
      <c r="AE91" s="13">
        <f t="shared" si="11"/>
        <v>0</v>
      </c>
      <c r="AF91" s="13">
        <f t="shared" si="12"/>
        <v>486</v>
      </c>
      <c r="AG91" s="13">
        <f t="shared" si="7"/>
        <v>145656</v>
      </c>
      <c r="AH91" s="13">
        <f t="shared" si="8"/>
        <v>27</v>
      </c>
      <c r="AI91" s="13">
        <f t="shared" si="9"/>
        <v>2003476</v>
      </c>
    </row>
    <row r="92" spans="1:35" x14ac:dyDescent="0.25">
      <c r="A92" s="6" t="s">
        <v>179</v>
      </c>
      <c r="B92" s="2">
        <v>38</v>
      </c>
      <c r="C92" s="2" t="s">
        <v>217</v>
      </c>
      <c r="D92" s="3">
        <v>1176</v>
      </c>
      <c r="E92" s="3">
        <v>1</v>
      </c>
      <c r="F92" s="3">
        <v>0</v>
      </c>
      <c r="G92" s="3">
        <v>2596</v>
      </c>
      <c r="H92" s="3">
        <v>0</v>
      </c>
      <c r="I92" s="3">
        <v>0</v>
      </c>
      <c r="J92" s="3">
        <v>0</v>
      </c>
      <c r="K92" s="3">
        <v>0</v>
      </c>
      <c r="L92" s="3">
        <v>54130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38</v>
      </c>
      <c r="S92" s="3">
        <v>863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13">
        <f t="shared" si="10"/>
        <v>3498</v>
      </c>
      <c r="AE92" s="13">
        <f t="shared" si="11"/>
        <v>0</v>
      </c>
      <c r="AF92" s="13">
        <f t="shared" si="12"/>
        <v>55306</v>
      </c>
      <c r="AG92" s="13">
        <f t="shared" si="7"/>
        <v>149154</v>
      </c>
      <c r="AH92" s="13">
        <f t="shared" si="8"/>
        <v>27</v>
      </c>
      <c r="AI92" s="13">
        <f t="shared" si="9"/>
        <v>2058782</v>
      </c>
    </row>
    <row r="93" spans="1:35" x14ac:dyDescent="0.25">
      <c r="A93" s="6" t="s">
        <v>179</v>
      </c>
      <c r="B93" s="2">
        <v>39</v>
      </c>
      <c r="C93" s="2" t="s">
        <v>218</v>
      </c>
      <c r="D93" s="3">
        <v>35</v>
      </c>
      <c r="E93" s="3">
        <v>1298</v>
      </c>
      <c r="F93" s="3">
        <v>0</v>
      </c>
      <c r="G93" s="3">
        <v>2222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1862</v>
      </c>
      <c r="S93" s="3">
        <v>2734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13060</v>
      </c>
      <c r="AA93" s="3">
        <v>0</v>
      </c>
      <c r="AB93" s="3">
        <v>0</v>
      </c>
      <c r="AC93" s="3">
        <v>0</v>
      </c>
      <c r="AD93" s="13">
        <f t="shared" si="10"/>
        <v>8116</v>
      </c>
      <c r="AE93" s="13">
        <f t="shared" si="11"/>
        <v>0</v>
      </c>
      <c r="AF93" s="13">
        <f t="shared" si="12"/>
        <v>13095</v>
      </c>
      <c r="AG93" s="13">
        <f t="shared" si="7"/>
        <v>157270</v>
      </c>
      <c r="AH93" s="13">
        <f t="shared" si="8"/>
        <v>27</v>
      </c>
      <c r="AI93" s="13">
        <f t="shared" si="9"/>
        <v>2071877</v>
      </c>
    </row>
    <row r="94" spans="1:35" x14ac:dyDescent="0.25">
      <c r="A94" s="6" t="s">
        <v>179</v>
      </c>
      <c r="B94" s="2">
        <v>40</v>
      </c>
      <c r="C94" s="2" t="s">
        <v>219</v>
      </c>
      <c r="D94" s="3">
        <v>35</v>
      </c>
      <c r="E94" s="3">
        <v>92</v>
      </c>
      <c r="F94" s="3">
        <v>0</v>
      </c>
      <c r="G94" s="3">
        <v>1546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15</v>
      </c>
      <c r="O94" s="3">
        <v>0</v>
      </c>
      <c r="P94" s="3">
        <v>0</v>
      </c>
      <c r="Q94" s="3">
        <v>0</v>
      </c>
      <c r="R94" s="3">
        <v>504</v>
      </c>
      <c r="S94" s="3">
        <v>574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75547</v>
      </c>
      <c r="AA94" s="3">
        <v>0</v>
      </c>
      <c r="AB94" s="3">
        <v>0</v>
      </c>
      <c r="AC94" s="3">
        <v>0</v>
      </c>
      <c r="AD94" s="13">
        <f t="shared" si="10"/>
        <v>2731</v>
      </c>
      <c r="AE94" s="13">
        <f t="shared" si="11"/>
        <v>0</v>
      </c>
      <c r="AF94" s="13">
        <f t="shared" si="12"/>
        <v>75582</v>
      </c>
      <c r="AG94" s="13">
        <f t="shared" si="7"/>
        <v>160001</v>
      </c>
      <c r="AH94" s="13">
        <f t="shared" si="8"/>
        <v>27</v>
      </c>
      <c r="AI94" s="13">
        <f t="shared" si="9"/>
        <v>2147459</v>
      </c>
    </row>
    <row r="95" spans="1:35" x14ac:dyDescent="0.25">
      <c r="A95" s="6" t="s">
        <v>179</v>
      </c>
      <c r="B95" s="2">
        <v>41</v>
      </c>
      <c r="C95" s="2" t="s">
        <v>220</v>
      </c>
      <c r="D95" s="3">
        <v>2079</v>
      </c>
      <c r="E95" s="3">
        <v>69</v>
      </c>
      <c r="F95" s="3">
        <v>0</v>
      </c>
      <c r="G95" s="3">
        <v>1578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1337</v>
      </c>
      <c r="S95" s="3">
        <v>958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44157</v>
      </c>
      <c r="AA95" s="3">
        <v>0</v>
      </c>
      <c r="AB95" s="3">
        <v>0</v>
      </c>
      <c r="AC95" s="3">
        <v>0</v>
      </c>
      <c r="AD95" s="13">
        <f t="shared" si="10"/>
        <v>3942</v>
      </c>
      <c r="AE95" s="13">
        <f t="shared" si="11"/>
        <v>0</v>
      </c>
      <c r="AF95" s="13">
        <f t="shared" si="12"/>
        <v>46236</v>
      </c>
      <c r="AG95" s="13">
        <f t="shared" si="7"/>
        <v>163943</v>
      </c>
      <c r="AH95" s="13">
        <f t="shared" si="8"/>
        <v>27</v>
      </c>
      <c r="AI95" s="13">
        <f t="shared" si="9"/>
        <v>2193695</v>
      </c>
    </row>
    <row r="96" spans="1:35" x14ac:dyDescent="0.25">
      <c r="A96" s="6" t="s">
        <v>179</v>
      </c>
      <c r="B96" s="2">
        <v>42</v>
      </c>
      <c r="C96" s="2" t="s">
        <v>221</v>
      </c>
      <c r="D96" s="3">
        <v>0</v>
      </c>
      <c r="E96" s="3">
        <v>30</v>
      </c>
      <c r="F96" s="3">
        <v>0</v>
      </c>
      <c r="G96" s="3">
        <v>1896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1062</v>
      </c>
      <c r="S96" s="3">
        <v>1044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32042</v>
      </c>
      <c r="AA96" s="3">
        <v>22672</v>
      </c>
      <c r="AB96" s="3">
        <v>0</v>
      </c>
      <c r="AC96" s="3">
        <v>0</v>
      </c>
      <c r="AD96" s="13">
        <f t="shared" si="10"/>
        <v>4032</v>
      </c>
      <c r="AE96" s="13">
        <f t="shared" si="11"/>
        <v>0</v>
      </c>
      <c r="AF96" s="13">
        <f t="shared" si="12"/>
        <v>54714</v>
      </c>
      <c r="AG96" s="13">
        <f t="shared" si="7"/>
        <v>167975</v>
      </c>
      <c r="AH96" s="13">
        <f t="shared" si="8"/>
        <v>27</v>
      </c>
      <c r="AI96" s="13">
        <f t="shared" si="9"/>
        <v>2248409</v>
      </c>
    </row>
    <row r="97" spans="1:35" x14ac:dyDescent="0.25">
      <c r="A97" s="6" t="s">
        <v>179</v>
      </c>
      <c r="B97" s="2">
        <v>43</v>
      </c>
      <c r="C97" s="2" t="s">
        <v>222</v>
      </c>
      <c r="D97" s="3">
        <v>0</v>
      </c>
      <c r="E97" s="3">
        <v>935</v>
      </c>
      <c r="F97" s="3">
        <v>0</v>
      </c>
      <c r="G97" s="3">
        <v>1796</v>
      </c>
      <c r="H97" s="3">
        <v>0</v>
      </c>
      <c r="I97" s="3">
        <v>0</v>
      </c>
      <c r="J97" s="3">
        <v>0</v>
      </c>
      <c r="K97" s="3">
        <v>22845</v>
      </c>
      <c r="L97" s="3">
        <v>275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940</v>
      </c>
      <c r="S97" s="3">
        <v>1326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29828</v>
      </c>
      <c r="AB97" s="3">
        <v>0</v>
      </c>
      <c r="AC97" s="3">
        <v>0</v>
      </c>
      <c r="AD97" s="13">
        <f t="shared" si="10"/>
        <v>4997</v>
      </c>
      <c r="AE97" s="13">
        <f t="shared" si="11"/>
        <v>0</v>
      </c>
      <c r="AF97" s="13">
        <f t="shared" si="12"/>
        <v>52948</v>
      </c>
      <c r="AG97" s="13">
        <f t="shared" si="7"/>
        <v>172972</v>
      </c>
      <c r="AH97" s="13">
        <f t="shared" si="8"/>
        <v>27</v>
      </c>
      <c r="AI97" s="13">
        <f t="shared" si="9"/>
        <v>2301357</v>
      </c>
    </row>
    <row r="98" spans="1:35" x14ac:dyDescent="0.25">
      <c r="A98" s="6" t="s">
        <v>179</v>
      </c>
      <c r="B98" s="2">
        <v>44</v>
      </c>
      <c r="C98" s="2" t="s">
        <v>223</v>
      </c>
      <c r="D98" s="3">
        <v>1416</v>
      </c>
      <c r="E98" s="3">
        <v>115</v>
      </c>
      <c r="F98" s="3">
        <v>0</v>
      </c>
      <c r="G98" s="3">
        <v>1428</v>
      </c>
      <c r="H98" s="3">
        <v>0</v>
      </c>
      <c r="I98" s="3">
        <v>0</v>
      </c>
      <c r="J98" s="3">
        <v>0</v>
      </c>
      <c r="K98" s="3">
        <v>27805</v>
      </c>
      <c r="L98" s="3">
        <v>0</v>
      </c>
      <c r="M98" s="3">
        <v>0</v>
      </c>
      <c r="N98" s="3">
        <v>12</v>
      </c>
      <c r="O98" s="3">
        <v>0</v>
      </c>
      <c r="P98" s="3">
        <v>0</v>
      </c>
      <c r="Q98" s="3">
        <v>0</v>
      </c>
      <c r="R98" s="3">
        <v>765</v>
      </c>
      <c r="S98" s="3">
        <v>106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13">
        <f t="shared" si="10"/>
        <v>2426</v>
      </c>
      <c r="AE98" s="13">
        <f t="shared" si="11"/>
        <v>0</v>
      </c>
      <c r="AF98" s="13">
        <f t="shared" si="12"/>
        <v>29221</v>
      </c>
      <c r="AG98" s="13">
        <f t="shared" si="7"/>
        <v>175398</v>
      </c>
      <c r="AH98" s="13">
        <f t="shared" si="8"/>
        <v>27</v>
      </c>
      <c r="AI98" s="13">
        <f t="shared" si="9"/>
        <v>2330578</v>
      </c>
    </row>
    <row r="99" spans="1:35" x14ac:dyDescent="0.25">
      <c r="A99" s="6" t="s">
        <v>179</v>
      </c>
      <c r="B99" s="2">
        <v>45</v>
      </c>
      <c r="C99" s="2" t="s">
        <v>224</v>
      </c>
      <c r="D99" s="3">
        <v>643</v>
      </c>
      <c r="E99" s="3">
        <v>35</v>
      </c>
      <c r="F99" s="3">
        <v>0</v>
      </c>
      <c r="G99" s="3">
        <v>2424</v>
      </c>
      <c r="H99" s="3">
        <v>0</v>
      </c>
      <c r="I99" s="3">
        <v>0</v>
      </c>
      <c r="J99" s="3">
        <v>0</v>
      </c>
      <c r="K99" s="3">
        <v>0</v>
      </c>
      <c r="L99" s="3">
        <v>248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425</v>
      </c>
      <c r="S99" s="3">
        <v>469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53132</v>
      </c>
      <c r="AA99" s="3">
        <v>0</v>
      </c>
      <c r="AB99" s="3">
        <v>0</v>
      </c>
      <c r="AC99" s="3">
        <v>0</v>
      </c>
      <c r="AD99" s="13">
        <f t="shared" si="10"/>
        <v>3353</v>
      </c>
      <c r="AE99" s="13">
        <f t="shared" si="11"/>
        <v>0</v>
      </c>
      <c r="AF99" s="13">
        <f t="shared" si="12"/>
        <v>54023</v>
      </c>
      <c r="AG99" s="13">
        <f t="shared" si="7"/>
        <v>178751</v>
      </c>
      <c r="AH99" s="13">
        <f t="shared" si="8"/>
        <v>27</v>
      </c>
      <c r="AI99" s="13">
        <f t="shared" si="9"/>
        <v>2384601</v>
      </c>
    </row>
    <row r="100" spans="1:35" x14ac:dyDescent="0.25">
      <c r="A100" s="6" t="s">
        <v>179</v>
      </c>
      <c r="B100" s="2">
        <v>46</v>
      </c>
      <c r="C100" s="2" t="s">
        <v>225</v>
      </c>
      <c r="D100" s="3">
        <v>0</v>
      </c>
      <c r="E100" s="3">
        <v>64</v>
      </c>
      <c r="F100" s="3">
        <v>0</v>
      </c>
      <c r="G100" s="3">
        <v>1909</v>
      </c>
      <c r="H100" s="3">
        <v>0</v>
      </c>
      <c r="I100" s="3">
        <v>0</v>
      </c>
      <c r="J100" s="3">
        <v>0</v>
      </c>
      <c r="K100" s="3">
        <v>0</v>
      </c>
      <c r="L100" s="3">
        <v>495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736</v>
      </c>
      <c r="S100" s="3">
        <v>68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55000</v>
      </c>
      <c r="AA100" s="3">
        <v>29065</v>
      </c>
      <c r="AB100" s="3">
        <v>0</v>
      </c>
      <c r="AC100" s="3">
        <v>0</v>
      </c>
      <c r="AD100" s="13">
        <f t="shared" si="10"/>
        <v>2777</v>
      </c>
      <c r="AE100" s="13">
        <f t="shared" si="11"/>
        <v>0</v>
      </c>
      <c r="AF100" s="13">
        <f t="shared" si="12"/>
        <v>84560</v>
      </c>
      <c r="AG100" s="13">
        <f t="shared" si="7"/>
        <v>181528</v>
      </c>
      <c r="AH100" s="13">
        <f t="shared" si="8"/>
        <v>27</v>
      </c>
      <c r="AI100" s="13">
        <f t="shared" si="9"/>
        <v>2469161</v>
      </c>
    </row>
    <row r="101" spans="1:35" x14ac:dyDescent="0.25">
      <c r="A101" s="6" t="s">
        <v>179</v>
      </c>
      <c r="B101" s="2">
        <v>47</v>
      </c>
      <c r="C101" s="2" t="s">
        <v>226</v>
      </c>
      <c r="D101" s="3">
        <v>3013</v>
      </c>
      <c r="E101" s="3">
        <v>998</v>
      </c>
      <c r="F101" s="3">
        <v>0</v>
      </c>
      <c r="G101" s="3">
        <v>1973</v>
      </c>
      <c r="H101" s="3">
        <v>0</v>
      </c>
      <c r="I101" s="3">
        <v>0</v>
      </c>
      <c r="J101" s="3">
        <v>0</v>
      </c>
      <c r="K101" s="3">
        <v>0</v>
      </c>
      <c r="L101" s="3">
        <v>9788</v>
      </c>
      <c r="M101" s="3">
        <v>0</v>
      </c>
      <c r="N101" s="3">
        <v>5</v>
      </c>
      <c r="O101" s="3">
        <v>0</v>
      </c>
      <c r="P101" s="3">
        <v>0</v>
      </c>
      <c r="Q101" s="3">
        <v>0</v>
      </c>
      <c r="R101" s="3">
        <v>627</v>
      </c>
      <c r="S101" s="3">
        <v>450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23037</v>
      </c>
      <c r="AB101" s="3">
        <v>0</v>
      </c>
      <c r="AC101" s="3">
        <v>0</v>
      </c>
      <c r="AD101" s="13">
        <f t="shared" si="10"/>
        <v>4053</v>
      </c>
      <c r="AE101" s="13">
        <f t="shared" si="11"/>
        <v>0</v>
      </c>
      <c r="AF101" s="13">
        <f t="shared" si="12"/>
        <v>35838</v>
      </c>
      <c r="AG101" s="13">
        <f t="shared" si="7"/>
        <v>185581</v>
      </c>
      <c r="AH101" s="13">
        <f t="shared" si="8"/>
        <v>27</v>
      </c>
      <c r="AI101" s="13">
        <f t="shared" si="9"/>
        <v>2504999</v>
      </c>
    </row>
    <row r="102" spans="1:35" x14ac:dyDescent="0.25">
      <c r="A102" s="6" t="s">
        <v>179</v>
      </c>
      <c r="B102" s="2">
        <v>48</v>
      </c>
      <c r="C102" s="2" t="s">
        <v>227</v>
      </c>
      <c r="D102" s="3">
        <v>35</v>
      </c>
      <c r="E102" s="3">
        <v>128</v>
      </c>
      <c r="F102" s="3">
        <v>0</v>
      </c>
      <c r="G102" s="3">
        <v>1826</v>
      </c>
      <c r="H102" s="3">
        <v>0</v>
      </c>
      <c r="I102" s="3">
        <v>0</v>
      </c>
      <c r="J102" s="3">
        <v>0</v>
      </c>
      <c r="K102" s="3">
        <v>18294</v>
      </c>
      <c r="L102" s="3">
        <v>30536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978</v>
      </c>
      <c r="S102" s="3">
        <v>507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59950</v>
      </c>
      <c r="AB102" s="3">
        <v>0</v>
      </c>
      <c r="AC102" s="3">
        <v>0</v>
      </c>
      <c r="AD102" s="13">
        <f t="shared" si="10"/>
        <v>3439</v>
      </c>
      <c r="AE102" s="13">
        <f t="shared" si="11"/>
        <v>0</v>
      </c>
      <c r="AF102" s="13">
        <f t="shared" si="12"/>
        <v>108815</v>
      </c>
      <c r="AG102" s="13">
        <f t="shared" si="7"/>
        <v>189020</v>
      </c>
      <c r="AH102" s="13">
        <f t="shared" si="8"/>
        <v>27</v>
      </c>
      <c r="AI102" s="13">
        <f t="shared" si="9"/>
        <v>2613814</v>
      </c>
    </row>
    <row r="103" spans="1:35" x14ac:dyDescent="0.25">
      <c r="A103" s="6" t="s">
        <v>179</v>
      </c>
      <c r="B103" s="2">
        <v>49</v>
      </c>
      <c r="C103" s="2" t="s">
        <v>228</v>
      </c>
      <c r="D103" s="3">
        <v>0</v>
      </c>
      <c r="E103" s="3">
        <v>99</v>
      </c>
      <c r="F103" s="3">
        <v>0</v>
      </c>
      <c r="G103" s="3">
        <v>2229</v>
      </c>
      <c r="H103" s="3">
        <v>0</v>
      </c>
      <c r="I103" s="3">
        <v>0</v>
      </c>
      <c r="J103" s="3">
        <v>0</v>
      </c>
      <c r="K103" s="3">
        <v>32459</v>
      </c>
      <c r="L103" s="3">
        <v>15250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382</v>
      </c>
      <c r="S103" s="3">
        <v>393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10001</v>
      </c>
      <c r="AA103" s="3">
        <v>0</v>
      </c>
      <c r="AB103" s="3">
        <v>0</v>
      </c>
      <c r="AC103" s="3">
        <v>0</v>
      </c>
      <c r="AD103" s="13">
        <f t="shared" si="10"/>
        <v>3103</v>
      </c>
      <c r="AE103" s="13">
        <f t="shared" si="11"/>
        <v>0</v>
      </c>
      <c r="AF103" s="13">
        <f t="shared" si="12"/>
        <v>57710</v>
      </c>
      <c r="AG103" s="13">
        <f t="shared" si="7"/>
        <v>192123</v>
      </c>
      <c r="AH103" s="13">
        <f t="shared" si="8"/>
        <v>27</v>
      </c>
      <c r="AI103" s="13">
        <f t="shared" si="9"/>
        <v>2671524</v>
      </c>
    </row>
    <row r="104" spans="1:35" x14ac:dyDescent="0.25">
      <c r="A104" s="6" t="s">
        <v>179</v>
      </c>
      <c r="B104" s="2">
        <v>50</v>
      </c>
      <c r="C104" s="2" t="s">
        <v>229</v>
      </c>
      <c r="D104" s="3">
        <v>35</v>
      </c>
      <c r="E104" s="3">
        <v>97</v>
      </c>
      <c r="F104" s="3">
        <v>0</v>
      </c>
      <c r="G104" s="3">
        <v>1861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20</v>
      </c>
      <c r="O104" s="3">
        <v>0</v>
      </c>
      <c r="P104" s="3">
        <v>0</v>
      </c>
      <c r="Q104" s="3">
        <v>0</v>
      </c>
      <c r="R104" s="3">
        <v>383</v>
      </c>
      <c r="S104" s="3">
        <v>417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13">
        <f t="shared" si="10"/>
        <v>2778</v>
      </c>
      <c r="AE104" s="13">
        <f t="shared" si="11"/>
        <v>0</v>
      </c>
      <c r="AF104" s="13">
        <f t="shared" si="12"/>
        <v>35</v>
      </c>
      <c r="AG104" s="13">
        <f t="shared" si="7"/>
        <v>194901</v>
      </c>
      <c r="AH104" s="13">
        <f t="shared" si="8"/>
        <v>27</v>
      </c>
      <c r="AI104" s="13">
        <f t="shared" si="9"/>
        <v>2671559</v>
      </c>
    </row>
    <row r="105" spans="1:35" x14ac:dyDescent="0.25">
      <c r="A105" s="6" t="s">
        <v>179</v>
      </c>
      <c r="B105" s="2">
        <v>51</v>
      </c>
      <c r="C105" s="2" t="s">
        <v>230</v>
      </c>
      <c r="D105" s="3">
        <v>21</v>
      </c>
      <c r="E105" s="3">
        <v>159</v>
      </c>
      <c r="F105" s="3">
        <v>0</v>
      </c>
      <c r="G105" s="3">
        <v>1686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7</v>
      </c>
      <c r="O105" s="3">
        <v>0</v>
      </c>
      <c r="P105" s="3">
        <v>0</v>
      </c>
      <c r="Q105" s="3">
        <v>0</v>
      </c>
      <c r="R105" s="3">
        <v>455</v>
      </c>
      <c r="S105" s="3">
        <v>473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9205</v>
      </c>
      <c r="AA105" s="3">
        <v>0</v>
      </c>
      <c r="AB105" s="3">
        <v>0</v>
      </c>
      <c r="AC105" s="3">
        <v>0</v>
      </c>
      <c r="AD105" s="13">
        <f t="shared" si="10"/>
        <v>2780</v>
      </c>
      <c r="AE105" s="13">
        <f t="shared" si="11"/>
        <v>0</v>
      </c>
      <c r="AF105" s="13">
        <f t="shared" si="12"/>
        <v>9226</v>
      </c>
      <c r="AG105" s="13">
        <f t="shared" si="7"/>
        <v>197681</v>
      </c>
      <c r="AH105" s="13">
        <f t="shared" si="8"/>
        <v>27</v>
      </c>
      <c r="AI105" s="13">
        <f t="shared" si="9"/>
        <v>2680785</v>
      </c>
    </row>
    <row r="106" spans="1:35" x14ac:dyDescent="0.25">
      <c r="A106" s="6" t="s">
        <v>179</v>
      </c>
      <c r="B106" s="2">
        <v>52</v>
      </c>
      <c r="C106" s="2" t="s">
        <v>231</v>
      </c>
      <c r="D106" s="3">
        <v>0</v>
      </c>
      <c r="E106" s="3">
        <v>598</v>
      </c>
      <c r="F106" s="3">
        <v>0</v>
      </c>
      <c r="G106" s="3">
        <v>3489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614</v>
      </c>
      <c r="S106" s="3">
        <v>263</v>
      </c>
      <c r="T106" s="3">
        <v>0</v>
      </c>
      <c r="U106" s="3">
        <v>0</v>
      </c>
      <c r="V106" s="3">
        <v>20</v>
      </c>
      <c r="W106" s="3">
        <v>0</v>
      </c>
      <c r="X106" s="3">
        <v>0</v>
      </c>
      <c r="Y106" s="3">
        <v>0</v>
      </c>
      <c r="Z106" s="3">
        <v>45795</v>
      </c>
      <c r="AA106" s="3">
        <v>67772</v>
      </c>
      <c r="AB106" s="3">
        <v>0</v>
      </c>
      <c r="AC106" s="3">
        <v>0</v>
      </c>
      <c r="AD106" s="13">
        <f t="shared" si="10"/>
        <v>4964</v>
      </c>
      <c r="AE106" s="13">
        <f t="shared" si="11"/>
        <v>0</v>
      </c>
      <c r="AF106" s="13">
        <f t="shared" si="12"/>
        <v>113587</v>
      </c>
      <c r="AG106" s="13">
        <f t="shared" si="7"/>
        <v>202645</v>
      </c>
      <c r="AH106" s="13">
        <f t="shared" si="8"/>
        <v>27</v>
      </c>
      <c r="AI106" s="13">
        <f t="shared" si="9"/>
        <v>2794372</v>
      </c>
    </row>
    <row r="107" spans="1:35" s="20" customFormat="1" x14ac:dyDescent="0.25">
      <c r="A107" s="16" t="s">
        <v>173</v>
      </c>
      <c r="B107" s="17">
        <v>1</v>
      </c>
      <c r="C107" s="17" t="s">
        <v>121</v>
      </c>
      <c r="D107" s="18">
        <v>35</v>
      </c>
      <c r="E107" s="18">
        <v>0</v>
      </c>
      <c r="F107" s="18">
        <v>0</v>
      </c>
      <c r="G107" s="18">
        <v>1607</v>
      </c>
      <c r="H107" s="18">
        <v>0</v>
      </c>
      <c r="I107" s="18">
        <v>0</v>
      </c>
      <c r="J107" s="18">
        <v>0</v>
      </c>
      <c r="K107" s="18">
        <v>0</v>
      </c>
      <c r="L107" s="18">
        <v>0</v>
      </c>
      <c r="M107" s="18">
        <v>0</v>
      </c>
      <c r="N107" s="18">
        <v>3</v>
      </c>
      <c r="O107" s="18">
        <v>0</v>
      </c>
      <c r="P107" s="18">
        <v>0</v>
      </c>
      <c r="Q107" s="18">
        <v>0</v>
      </c>
      <c r="R107" s="18">
        <v>230</v>
      </c>
      <c r="S107" s="18">
        <v>435</v>
      </c>
      <c r="T107" s="18">
        <v>0</v>
      </c>
      <c r="U107" s="18">
        <v>0</v>
      </c>
      <c r="V107" s="18">
        <v>0</v>
      </c>
      <c r="W107" s="18">
        <v>0</v>
      </c>
      <c r="X107" s="18">
        <v>0</v>
      </c>
      <c r="Y107" s="18">
        <v>0</v>
      </c>
      <c r="Z107" s="18">
        <v>21087</v>
      </c>
      <c r="AA107" s="18">
        <v>27528</v>
      </c>
      <c r="AB107" s="18">
        <v>0</v>
      </c>
      <c r="AC107" s="18">
        <v>0</v>
      </c>
      <c r="AD107" s="19">
        <f t="shared" si="10"/>
        <v>2275</v>
      </c>
      <c r="AE107" s="19">
        <f t="shared" si="11"/>
        <v>0</v>
      </c>
      <c r="AF107" s="19">
        <f t="shared" si="12"/>
        <v>48650</v>
      </c>
      <c r="AG107" s="19">
        <f>AD107</f>
        <v>2275</v>
      </c>
      <c r="AH107" s="19">
        <f>AE107</f>
        <v>0</v>
      </c>
      <c r="AI107" s="19">
        <f>AF107</f>
        <v>48650</v>
      </c>
    </row>
    <row r="108" spans="1:35" x14ac:dyDescent="0.25">
      <c r="A108" s="6" t="s">
        <v>173</v>
      </c>
      <c r="B108" s="2">
        <v>2</v>
      </c>
      <c r="C108" s="2" t="s">
        <v>122</v>
      </c>
      <c r="D108" s="3">
        <v>499</v>
      </c>
      <c r="E108" s="3">
        <v>63</v>
      </c>
      <c r="F108" s="3">
        <v>0</v>
      </c>
      <c r="G108" s="3">
        <v>1635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266</v>
      </c>
      <c r="S108" s="3">
        <v>386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23512</v>
      </c>
      <c r="AA108" s="3">
        <v>4830</v>
      </c>
      <c r="AB108" s="3">
        <v>0</v>
      </c>
      <c r="AC108" s="3">
        <v>0</v>
      </c>
      <c r="AD108" s="13">
        <f t="shared" si="10"/>
        <v>2350</v>
      </c>
      <c r="AE108" s="13">
        <f t="shared" si="11"/>
        <v>0</v>
      </c>
      <c r="AF108" s="13">
        <f t="shared" si="12"/>
        <v>28841</v>
      </c>
      <c r="AG108" s="13">
        <f>AG107+AD108</f>
        <v>4625</v>
      </c>
      <c r="AH108" s="13">
        <f>AH107+AE108</f>
        <v>0</v>
      </c>
      <c r="AI108" s="13">
        <f>AI107+AF108</f>
        <v>77491</v>
      </c>
    </row>
    <row r="109" spans="1:35" x14ac:dyDescent="0.25">
      <c r="A109" s="6" t="s">
        <v>173</v>
      </c>
      <c r="B109" s="2">
        <v>3</v>
      </c>
      <c r="C109" s="2" t="s">
        <v>123</v>
      </c>
      <c r="D109" s="3">
        <v>1488</v>
      </c>
      <c r="E109" s="3">
        <v>321</v>
      </c>
      <c r="F109" s="3">
        <v>0</v>
      </c>
      <c r="G109" s="3">
        <v>1663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237</v>
      </c>
      <c r="O109" s="3">
        <v>0</v>
      </c>
      <c r="P109" s="3">
        <v>0</v>
      </c>
      <c r="Q109" s="3">
        <v>0</v>
      </c>
      <c r="R109" s="3">
        <v>381</v>
      </c>
      <c r="S109" s="3">
        <v>578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10803</v>
      </c>
      <c r="AB109" s="3">
        <v>0</v>
      </c>
      <c r="AC109" s="3">
        <v>0</v>
      </c>
      <c r="AD109" s="13">
        <f t="shared" si="10"/>
        <v>3180</v>
      </c>
      <c r="AE109" s="13">
        <f t="shared" si="11"/>
        <v>0</v>
      </c>
      <c r="AF109" s="13">
        <f t="shared" si="12"/>
        <v>12291</v>
      </c>
      <c r="AG109" s="13">
        <f t="shared" ref="AG109:AG158" si="13">AG108+AD109</f>
        <v>7805</v>
      </c>
      <c r="AH109" s="13">
        <f t="shared" ref="AH109:AH158" si="14">AH108+AE109</f>
        <v>0</v>
      </c>
      <c r="AI109" s="13">
        <f t="shared" ref="AI109:AI158" si="15">AI108+AF109</f>
        <v>89782</v>
      </c>
    </row>
    <row r="110" spans="1:35" x14ac:dyDescent="0.25">
      <c r="A110" s="6" t="s">
        <v>173</v>
      </c>
      <c r="B110" s="2">
        <v>4</v>
      </c>
      <c r="C110" s="2" t="s">
        <v>124</v>
      </c>
      <c r="D110" s="3">
        <v>0</v>
      </c>
      <c r="E110" s="3">
        <v>369</v>
      </c>
      <c r="F110" s="3">
        <v>0</v>
      </c>
      <c r="G110" s="3">
        <v>1405</v>
      </c>
      <c r="H110" s="3">
        <v>0</v>
      </c>
      <c r="I110" s="3">
        <v>0</v>
      </c>
      <c r="J110" s="3">
        <v>0</v>
      </c>
      <c r="K110" s="3">
        <v>44701</v>
      </c>
      <c r="L110" s="3">
        <v>52075</v>
      </c>
      <c r="M110" s="3">
        <v>0</v>
      </c>
      <c r="N110" s="3">
        <v>113</v>
      </c>
      <c r="O110" s="3">
        <v>0</v>
      </c>
      <c r="P110" s="3">
        <v>0</v>
      </c>
      <c r="Q110" s="3">
        <v>0</v>
      </c>
      <c r="R110" s="3">
        <v>658</v>
      </c>
      <c r="S110" s="3">
        <v>1022</v>
      </c>
      <c r="T110" s="3">
        <v>0</v>
      </c>
      <c r="U110" s="3">
        <v>0</v>
      </c>
      <c r="V110" s="3">
        <v>0</v>
      </c>
      <c r="W110" s="3">
        <v>0</v>
      </c>
      <c r="X110" s="3">
        <v>208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13">
        <f t="shared" si="10"/>
        <v>3567</v>
      </c>
      <c r="AE110" s="13">
        <f t="shared" si="11"/>
        <v>0</v>
      </c>
      <c r="AF110" s="13">
        <f t="shared" si="12"/>
        <v>96984</v>
      </c>
      <c r="AG110" s="13">
        <f t="shared" si="13"/>
        <v>11372</v>
      </c>
      <c r="AH110" s="13">
        <f t="shared" si="14"/>
        <v>0</v>
      </c>
      <c r="AI110" s="13">
        <f t="shared" si="15"/>
        <v>186766</v>
      </c>
    </row>
    <row r="111" spans="1:35" x14ac:dyDescent="0.25">
      <c r="A111" s="6" t="s">
        <v>173</v>
      </c>
      <c r="B111" s="2">
        <v>5</v>
      </c>
      <c r="C111" s="2" t="s">
        <v>125</v>
      </c>
      <c r="D111" s="3">
        <v>0</v>
      </c>
      <c r="E111" s="3">
        <v>33</v>
      </c>
      <c r="F111" s="3">
        <v>0</v>
      </c>
      <c r="G111" s="3">
        <v>1233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32</v>
      </c>
      <c r="O111" s="3">
        <v>0</v>
      </c>
      <c r="P111" s="3">
        <v>0</v>
      </c>
      <c r="Q111" s="3">
        <v>0</v>
      </c>
      <c r="R111" s="3">
        <v>1185</v>
      </c>
      <c r="S111" s="3">
        <v>335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13">
        <f t="shared" si="10"/>
        <v>2818</v>
      </c>
      <c r="AE111" s="13">
        <f t="shared" si="11"/>
        <v>0</v>
      </c>
      <c r="AF111" s="13">
        <f t="shared" si="12"/>
        <v>0</v>
      </c>
      <c r="AG111" s="13">
        <f t="shared" si="13"/>
        <v>14190</v>
      </c>
      <c r="AH111" s="13">
        <f t="shared" si="14"/>
        <v>0</v>
      </c>
      <c r="AI111" s="13">
        <f t="shared" si="15"/>
        <v>186766</v>
      </c>
    </row>
    <row r="112" spans="1:35" x14ac:dyDescent="0.25">
      <c r="A112" s="6" t="s">
        <v>173</v>
      </c>
      <c r="B112" s="2">
        <v>6</v>
      </c>
      <c r="C112" s="2" t="s">
        <v>126</v>
      </c>
      <c r="D112" s="3">
        <v>0</v>
      </c>
      <c r="E112" s="3">
        <v>32</v>
      </c>
      <c r="F112" s="3">
        <v>0</v>
      </c>
      <c r="G112" s="3">
        <v>1244</v>
      </c>
      <c r="H112" s="3">
        <v>0</v>
      </c>
      <c r="I112" s="3">
        <v>0</v>
      </c>
      <c r="J112" s="3">
        <v>0</v>
      </c>
      <c r="K112" s="3">
        <v>30962</v>
      </c>
      <c r="L112" s="3">
        <v>0</v>
      </c>
      <c r="M112" s="3">
        <v>0</v>
      </c>
      <c r="N112" s="3">
        <v>44</v>
      </c>
      <c r="O112" s="3">
        <v>0</v>
      </c>
      <c r="P112" s="3">
        <v>0</v>
      </c>
      <c r="Q112" s="3">
        <v>0</v>
      </c>
      <c r="R112" s="3">
        <v>1372</v>
      </c>
      <c r="S112" s="3">
        <v>201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77964</v>
      </c>
      <c r="AA112" s="3">
        <v>15953</v>
      </c>
      <c r="AB112" s="3">
        <v>0</v>
      </c>
      <c r="AC112" s="3">
        <v>0</v>
      </c>
      <c r="AD112" s="13">
        <f t="shared" si="10"/>
        <v>2893</v>
      </c>
      <c r="AE112" s="13">
        <f t="shared" si="11"/>
        <v>0</v>
      </c>
      <c r="AF112" s="13">
        <f t="shared" si="12"/>
        <v>124879</v>
      </c>
      <c r="AG112" s="13">
        <f t="shared" si="13"/>
        <v>17083</v>
      </c>
      <c r="AH112" s="13">
        <f t="shared" si="14"/>
        <v>0</v>
      </c>
      <c r="AI112" s="13">
        <f t="shared" si="15"/>
        <v>311645</v>
      </c>
    </row>
    <row r="113" spans="1:35" x14ac:dyDescent="0.25">
      <c r="A113" s="6" t="s">
        <v>173</v>
      </c>
      <c r="B113" s="2">
        <v>7</v>
      </c>
      <c r="C113" s="2" t="s">
        <v>127</v>
      </c>
      <c r="D113" s="3">
        <v>0</v>
      </c>
      <c r="E113" s="3">
        <v>33</v>
      </c>
      <c r="F113" s="3">
        <v>0</v>
      </c>
      <c r="G113" s="3">
        <v>969</v>
      </c>
      <c r="H113" s="3">
        <v>0</v>
      </c>
      <c r="I113" s="3">
        <v>0</v>
      </c>
      <c r="J113" s="3">
        <v>0</v>
      </c>
      <c r="K113" s="3">
        <v>32722</v>
      </c>
      <c r="L113" s="3">
        <v>0</v>
      </c>
      <c r="M113" s="3">
        <v>0</v>
      </c>
      <c r="N113" s="3">
        <v>242</v>
      </c>
      <c r="O113" s="3">
        <v>0</v>
      </c>
      <c r="P113" s="3">
        <v>0</v>
      </c>
      <c r="Q113" s="3">
        <v>0</v>
      </c>
      <c r="R113" s="3">
        <v>1071</v>
      </c>
      <c r="S113" s="3">
        <v>345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32486</v>
      </c>
      <c r="AA113" s="3">
        <v>25847</v>
      </c>
      <c r="AB113" s="3">
        <v>0</v>
      </c>
      <c r="AC113" s="3">
        <v>0</v>
      </c>
      <c r="AD113" s="13">
        <f t="shared" si="10"/>
        <v>2660</v>
      </c>
      <c r="AE113" s="13">
        <f t="shared" si="11"/>
        <v>0</v>
      </c>
      <c r="AF113" s="13">
        <f t="shared" si="12"/>
        <v>91055</v>
      </c>
      <c r="AG113" s="13">
        <f t="shared" si="13"/>
        <v>19743</v>
      </c>
      <c r="AH113" s="13">
        <f t="shared" si="14"/>
        <v>0</v>
      </c>
      <c r="AI113" s="13">
        <f t="shared" si="15"/>
        <v>402700</v>
      </c>
    </row>
    <row r="114" spans="1:35" x14ac:dyDescent="0.25">
      <c r="A114" s="6" t="s">
        <v>173</v>
      </c>
      <c r="B114" s="2">
        <v>8</v>
      </c>
      <c r="C114" s="2" t="s">
        <v>128</v>
      </c>
      <c r="D114" s="3">
        <v>0</v>
      </c>
      <c r="E114" s="3">
        <v>121</v>
      </c>
      <c r="F114" s="3">
        <v>0</v>
      </c>
      <c r="G114" s="3">
        <v>982</v>
      </c>
      <c r="H114" s="3">
        <v>0</v>
      </c>
      <c r="I114" s="3">
        <v>0</v>
      </c>
      <c r="J114" s="3">
        <v>0</v>
      </c>
      <c r="K114" s="3">
        <v>59513</v>
      </c>
      <c r="L114" s="3">
        <v>0</v>
      </c>
      <c r="M114" s="3">
        <v>0</v>
      </c>
      <c r="N114" s="3">
        <v>201</v>
      </c>
      <c r="O114" s="3">
        <v>0</v>
      </c>
      <c r="P114" s="3">
        <v>0</v>
      </c>
      <c r="Q114" s="3">
        <v>0</v>
      </c>
      <c r="R114" s="3">
        <v>733</v>
      </c>
      <c r="S114" s="3">
        <v>736</v>
      </c>
      <c r="T114" s="3">
        <v>0</v>
      </c>
      <c r="U114" s="3">
        <v>0</v>
      </c>
      <c r="V114" s="3">
        <v>0</v>
      </c>
      <c r="W114" s="3">
        <v>220</v>
      </c>
      <c r="X114" s="3">
        <v>139</v>
      </c>
      <c r="Y114" s="3">
        <v>0</v>
      </c>
      <c r="Z114" s="3">
        <v>44224</v>
      </c>
      <c r="AA114" s="3">
        <v>25009</v>
      </c>
      <c r="AB114" s="3">
        <v>0</v>
      </c>
      <c r="AC114" s="3">
        <v>0</v>
      </c>
      <c r="AD114" s="13">
        <f t="shared" si="10"/>
        <v>2773</v>
      </c>
      <c r="AE114" s="13">
        <f t="shared" si="11"/>
        <v>0</v>
      </c>
      <c r="AF114" s="13">
        <f t="shared" si="12"/>
        <v>129105</v>
      </c>
      <c r="AG114" s="13">
        <f t="shared" si="13"/>
        <v>22516</v>
      </c>
      <c r="AH114" s="13">
        <f t="shared" si="14"/>
        <v>0</v>
      </c>
      <c r="AI114" s="13">
        <f t="shared" si="15"/>
        <v>531805</v>
      </c>
    </row>
    <row r="115" spans="1:35" x14ac:dyDescent="0.25">
      <c r="A115" s="6" t="s">
        <v>173</v>
      </c>
      <c r="B115" s="2">
        <v>9</v>
      </c>
      <c r="C115" s="2" t="s">
        <v>129</v>
      </c>
      <c r="D115" s="3">
        <v>0</v>
      </c>
      <c r="E115" s="3">
        <v>68</v>
      </c>
      <c r="F115" s="3">
        <v>0</v>
      </c>
      <c r="G115" s="3">
        <v>704</v>
      </c>
      <c r="H115" s="3">
        <v>0</v>
      </c>
      <c r="I115" s="3">
        <v>0</v>
      </c>
      <c r="J115" s="3">
        <v>0</v>
      </c>
      <c r="K115" s="3">
        <v>53047</v>
      </c>
      <c r="L115" s="3">
        <v>0</v>
      </c>
      <c r="M115" s="3">
        <v>0</v>
      </c>
      <c r="N115" s="3">
        <v>201</v>
      </c>
      <c r="O115" s="3">
        <v>0</v>
      </c>
      <c r="P115" s="3">
        <v>0</v>
      </c>
      <c r="Q115" s="3">
        <v>0</v>
      </c>
      <c r="R115" s="3">
        <v>1147</v>
      </c>
      <c r="S115" s="3">
        <v>725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10226</v>
      </c>
      <c r="AA115" s="3">
        <v>0</v>
      </c>
      <c r="AB115" s="3">
        <v>0</v>
      </c>
      <c r="AC115" s="3">
        <v>0</v>
      </c>
      <c r="AD115" s="13">
        <f t="shared" si="10"/>
        <v>2845</v>
      </c>
      <c r="AE115" s="13">
        <f t="shared" si="11"/>
        <v>0</v>
      </c>
      <c r="AF115" s="13">
        <f t="shared" si="12"/>
        <v>63273</v>
      </c>
      <c r="AG115" s="13">
        <f t="shared" si="13"/>
        <v>25361</v>
      </c>
      <c r="AH115" s="13">
        <f t="shared" si="14"/>
        <v>0</v>
      </c>
      <c r="AI115" s="13">
        <f t="shared" si="15"/>
        <v>595078</v>
      </c>
    </row>
    <row r="116" spans="1:35" x14ac:dyDescent="0.25">
      <c r="A116" s="6" t="s">
        <v>173</v>
      </c>
      <c r="B116" s="2">
        <v>10</v>
      </c>
      <c r="C116" s="2" t="s">
        <v>130</v>
      </c>
      <c r="D116" s="3">
        <v>0</v>
      </c>
      <c r="E116" s="3">
        <v>101</v>
      </c>
      <c r="F116" s="3">
        <v>0</v>
      </c>
      <c r="G116" s="3">
        <v>725</v>
      </c>
      <c r="H116" s="3">
        <v>0</v>
      </c>
      <c r="I116" s="3">
        <v>0</v>
      </c>
      <c r="J116" s="3">
        <v>0</v>
      </c>
      <c r="K116" s="3">
        <v>54262</v>
      </c>
      <c r="L116" s="3">
        <v>31166</v>
      </c>
      <c r="M116" s="3">
        <v>0</v>
      </c>
      <c r="N116" s="3">
        <v>276</v>
      </c>
      <c r="O116" s="3">
        <v>0</v>
      </c>
      <c r="P116" s="3">
        <v>0</v>
      </c>
      <c r="Q116" s="3">
        <v>0</v>
      </c>
      <c r="R116" s="3">
        <v>440</v>
      </c>
      <c r="S116" s="3">
        <v>765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29271</v>
      </c>
      <c r="AB116" s="3">
        <v>0</v>
      </c>
      <c r="AC116" s="3">
        <v>0</v>
      </c>
      <c r="AD116" s="13">
        <f t="shared" si="10"/>
        <v>2307</v>
      </c>
      <c r="AE116" s="13">
        <f t="shared" si="11"/>
        <v>0</v>
      </c>
      <c r="AF116" s="13">
        <f t="shared" si="12"/>
        <v>114699</v>
      </c>
      <c r="AG116" s="13">
        <f t="shared" si="13"/>
        <v>27668</v>
      </c>
      <c r="AH116" s="13">
        <f t="shared" si="14"/>
        <v>0</v>
      </c>
      <c r="AI116" s="13">
        <f t="shared" si="15"/>
        <v>709777</v>
      </c>
    </row>
    <row r="117" spans="1:35" x14ac:dyDescent="0.25">
      <c r="A117" s="6" t="s">
        <v>173</v>
      </c>
      <c r="B117" s="2">
        <v>11</v>
      </c>
      <c r="C117" s="2" t="s">
        <v>131</v>
      </c>
      <c r="D117" s="3">
        <v>0</v>
      </c>
      <c r="E117" s="3">
        <v>125</v>
      </c>
      <c r="F117" s="3">
        <v>0</v>
      </c>
      <c r="G117" s="3">
        <v>1253</v>
      </c>
      <c r="H117" s="3">
        <v>0</v>
      </c>
      <c r="I117" s="3">
        <v>0</v>
      </c>
      <c r="J117" s="3">
        <v>0</v>
      </c>
      <c r="K117" s="3">
        <v>51520</v>
      </c>
      <c r="L117" s="3">
        <v>21556</v>
      </c>
      <c r="M117" s="3">
        <v>0</v>
      </c>
      <c r="N117" s="3">
        <v>212</v>
      </c>
      <c r="O117" s="3">
        <v>0</v>
      </c>
      <c r="P117" s="3">
        <v>0</v>
      </c>
      <c r="Q117" s="3">
        <v>0</v>
      </c>
      <c r="R117" s="3">
        <v>782</v>
      </c>
      <c r="S117" s="3">
        <v>1291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13">
        <f t="shared" si="10"/>
        <v>3663</v>
      </c>
      <c r="AE117" s="13">
        <f t="shared" si="11"/>
        <v>0</v>
      </c>
      <c r="AF117" s="13">
        <f t="shared" si="12"/>
        <v>73076</v>
      </c>
      <c r="AG117" s="13">
        <f t="shared" si="13"/>
        <v>31331</v>
      </c>
      <c r="AH117" s="13">
        <f t="shared" si="14"/>
        <v>0</v>
      </c>
      <c r="AI117" s="13">
        <f t="shared" si="15"/>
        <v>782853</v>
      </c>
    </row>
    <row r="118" spans="1:35" x14ac:dyDescent="0.25">
      <c r="A118" s="6" t="s">
        <v>173</v>
      </c>
      <c r="B118" s="2">
        <v>12</v>
      </c>
      <c r="C118" s="2" t="s">
        <v>132</v>
      </c>
      <c r="D118" s="3">
        <v>0</v>
      </c>
      <c r="E118" s="3">
        <v>34</v>
      </c>
      <c r="F118" s="3">
        <v>0</v>
      </c>
      <c r="G118" s="3">
        <v>957</v>
      </c>
      <c r="H118" s="3">
        <v>0</v>
      </c>
      <c r="I118" s="3">
        <v>0</v>
      </c>
      <c r="J118" s="3">
        <v>0</v>
      </c>
      <c r="K118" s="3">
        <v>68604</v>
      </c>
      <c r="L118" s="3">
        <v>0</v>
      </c>
      <c r="M118" s="3">
        <v>0</v>
      </c>
      <c r="N118" s="3">
        <v>174</v>
      </c>
      <c r="O118" s="3">
        <v>0</v>
      </c>
      <c r="P118" s="3">
        <v>0</v>
      </c>
      <c r="Q118" s="3">
        <v>0</v>
      </c>
      <c r="R118" s="3">
        <v>488</v>
      </c>
      <c r="S118" s="3">
        <v>373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52320</v>
      </c>
      <c r="AB118" s="3">
        <v>0</v>
      </c>
      <c r="AC118" s="3">
        <v>0</v>
      </c>
      <c r="AD118" s="13">
        <f t="shared" si="10"/>
        <v>2026</v>
      </c>
      <c r="AE118" s="13">
        <f t="shared" si="11"/>
        <v>0</v>
      </c>
      <c r="AF118" s="13">
        <f t="shared" si="12"/>
        <v>120924</v>
      </c>
      <c r="AG118" s="13">
        <f t="shared" si="13"/>
        <v>33357</v>
      </c>
      <c r="AH118" s="13">
        <f t="shared" si="14"/>
        <v>0</v>
      </c>
      <c r="AI118" s="13">
        <f t="shared" si="15"/>
        <v>903777</v>
      </c>
    </row>
    <row r="119" spans="1:35" x14ac:dyDescent="0.25">
      <c r="A119" s="6" t="s">
        <v>173</v>
      </c>
      <c r="B119" s="2">
        <v>13</v>
      </c>
      <c r="C119" s="2" t="s">
        <v>133</v>
      </c>
      <c r="D119" s="3">
        <v>0</v>
      </c>
      <c r="E119" s="3">
        <v>33</v>
      </c>
      <c r="F119" s="3">
        <v>0</v>
      </c>
      <c r="G119" s="3">
        <v>693</v>
      </c>
      <c r="H119" s="3">
        <v>0</v>
      </c>
      <c r="I119" s="3">
        <v>0</v>
      </c>
      <c r="J119" s="3">
        <v>0</v>
      </c>
      <c r="K119" s="3">
        <v>9192</v>
      </c>
      <c r="L119" s="3">
        <v>0</v>
      </c>
      <c r="M119" s="3">
        <v>0</v>
      </c>
      <c r="N119" s="3">
        <v>34</v>
      </c>
      <c r="O119" s="3">
        <v>0</v>
      </c>
      <c r="P119" s="3">
        <v>0</v>
      </c>
      <c r="Q119" s="3">
        <v>0</v>
      </c>
      <c r="R119" s="3">
        <v>722</v>
      </c>
      <c r="S119" s="3">
        <v>1852</v>
      </c>
      <c r="T119" s="3">
        <v>0</v>
      </c>
      <c r="U119" s="3">
        <v>0</v>
      </c>
      <c r="V119" s="3">
        <v>0</v>
      </c>
      <c r="W119" s="3">
        <v>770</v>
      </c>
      <c r="X119" s="3">
        <v>0</v>
      </c>
      <c r="Y119" s="3">
        <v>0</v>
      </c>
      <c r="Z119" s="3">
        <v>23669</v>
      </c>
      <c r="AA119" s="3">
        <v>54610</v>
      </c>
      <c r="AB119" s="3">
        <v>0</v>
      </c>
      <c r="AC119" s="3">
        <v>0</v>
      </c>
      <c r="AD119" s="13">
        <f t="shared" si="10"/>
        <v>3334</v>
      </c>
      <c r="AE119" s="13">
        <f t="shared" si="11"/>
        <v>0</v>
      </c>
      <c r="AF119" s="13">
        <f t="shared" si="12"/>
        <v>88241</v>
      </c>
      <c r="AG119" s="13">
        <f t="shared" si="13"/>
        <v>36691</v>
      </c>
      <c r="AH119" s="13">
        <f t="shared" si="14"/>
        <v>0</v>
      </c>
      <c r="AI119" s="13">
        <f t="shared" si="15"/>
        <v>992018</v>
      </c>
    </row>
    <row r="120" spans="1:35" x14ac:dyDescent="0.25">
      <c r="A120" s="6" t="s">
        <v>173</v>
      </c>
      <c r="B120" s="2">
        <v>14</v>
      </c>
      <c r="C120" s="2" t="s">
        <v>134</v>
      </c>
      <c r="D120" s="3">
        <v>0</v>
      </c>
      <c r="E120" s="3">
        <v>341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135</v>
      </c>
      <c r="O120" s="3">
        <v>0</v>
      </c>
      <c r="P120" s="3">
        <v>0</v>
      </c>
      <c r="Q120" s="3">
        <v>0</v>
      </c>
      <c r="R120" s="3">
        <v>784</v>
      </c>
      <c r="S120" s="3">
        <v>837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32203</v>
      </c>
      <c r="AA120" s="3">
        <v>0</v>
      </c>
      <c r="AB120" s="3">
        <v>0</v>
      </c>
      <c r="AC120" s="3">
        <v>0</v>
      </c>
      <c r="AD120" s="13">
        <f t="shared" si="10"/>
        <v>2097</v>
      </c>
      <c r="AE120" s="13">
        <f t="shared" si="11"/>
        <v>0</v>
      </c>
      <c r="AF120" s="13">
        <f t="shared" si="12"/>
        <v>32203</v>
      </c>
      <c r="AG120" s="13">
        <f t="shared" si="13"/>
        <v>38788</v>
      </c>
      <c r="AH120" s="13">
        <f t="shared" si="14"/>
        <v>0</v>
      </c>
      <c r="AI120" s="13">
        <f t="shared" si="15"/>
        <v>1024221</v>
      </c>
    </row>
    <row r="121" spans="1:35" x14ac:dyDescent="0.25">
      <c r="A121" s="6" t="s">
        <v>173</v>
      </c>
      <c r="B121" s="2">
        <v>15</v>
      </c>
      <c r="C121" s="2" t="s">
        <v>135</v>
      </c>
      <c r="D121" s="3">
        <v>0</v>
      </c>
      <c r="E121" s="3">
        <v>107</v>
      </c>
      <c r="F121" s="3">
        <v>0</v>
      </c>
      <c r="G121" s="3">
        <v>131</v>
      </c>
      <c r="H121" s="3">
        <v>0</v>
      </c>
      <c r="I121" s="3">
        <v>0</v>
      </c>
      <c r="J121" s="3">
        <v>0</v>
      </c>
      <c r="K121" s="3">
        <v>33995</v>
      </c>
      <c r="L121" s="3">
        <v>0</v>
      </c>
      <c r="M121" s="3">
        <v>0</v>
      </c>
      <c r="N121" s="3">
        <v>136</v>
      </c>
      <c r="O121" s="3">
        <v>0</v>
      </c>
      <c r="P121" s="3">
        <v>0</v>
      </c>
      <c r="Q121" s="3">
        <v>0</v>
      </c>
      <c r="R121" s="3">
        <v>1542</v>
      </c>
      <c r="S121" s="3">
        <v>1172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12315</v>
      </c>
      <c r="AB121" s="3">
        <v>0</v>
      </c>
      <c r="AC121" s="3">
        <v>0</v>
      </c>
      <c r="AD121" s="13">
        <f t="shared" si="10"/>
        <v>3088</v>
      </c>
      <c r="AE121" s="13">
        <f t="shared" si="11"/>
        <v>0</v>
      </c>
      <c r="AF121" s="13">
        <f t="shared" si="12"/>
        <v>46310</v>
      </c>
      <c r="AG121" s="13">
        <f t="shared" si="13"/>
        <v>41876</v>
      </c>
      <c r="AH121" s="13">
        <f t="shared" si="14"/>
        <v>0</v>
      </c>
      <c r="AI121" s="13">
        <f t="shared" si="15"/>
        <v>1070531</v>
      </c>
    </row>
    <row r="122" spans="1:35" x14ac:dyDescent="0.25">
      <c r="A122" s="6" t="s">
        <v>173</v>
      </c>
      <c r="B122" s="2">
        <v>16</v>
      </c>
      <c r="C122" s="2" t="s">
        <v>136</v>
      </c>
      <c r="D122" s="3">
        <v>0</v>
      </c>
      <c r="E122" s="3">
        <v>35</v>
      </c>
      <c r="F122" s="3">
        <v>0</v>
      </c>
      <c r="G122" s="3">
        <v>1392</v>
      </c>
      <c r="H122" s="3">
        <v>0</v>
      </c>
      <c r="I122" s="3">
        <v>0</v>
      </c>
      <c r="J122" s="3">
        <v>0</v>
      </c>
      <c r="K122" s="3">
        <v>14317</v>
      </c>
      <c r="L122" s="3">
        <v>0</v>
      </c>
      <c r="M122" s="3">
        <v>0</v>
      </c>
      <c r="N122" s="3">
        <v>815</v>
      </c>
      <c r="O122" s="3">
        <v>0</v>
      </c>
      <c r="P122" s="3">
        <v>0</v>
      </c>
      <c r="Q122" s="3">
        <v>0</v>
      </c>
      <c r="R122" s="3">
        <v>1401</v>
      </c>
      <c r="S122" s="3">
        <v>941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54230</v>
      </c>
      <c r="AA122" s="3">
        <v>41485</v>
      </c>
      <c r="AB122" s="3">
        <v>0</v>
      </c>
      <c r="AC122" s="3">
        <v>64</v>
      </c>
      <c r="AD122" s="13">
        <f t="shared" si="10"/>
        <v>4584</v>
      </c>
      <c r="AE122" s="13">
        <f t="shared" si="11"/>
        <v>64</v>
      </c>
      <c r="AF122" s="13">
        <f t="shared" si="12"/>
        <v>110032</v>
      </c>
      <c r="AG122" s="13">
        <f t="shared" si="13"/>
        <v>46460</v>
      </c>
      <c r="AH122" s="13">
        <f t="shared" si="14"/>
        <v>64</v>
      </c>
      <c r="AI122" s="13">
        <f t="shared" si="15"/>
        <v>1180563</v>
      </c>
    </row>
    <row r="123" spans="1:35" x14ac:dyDescent="0.25">
      <c r="A123" s="6" t="s">
        <v>173</v>
      </c>
      <c r="B123" s="2">
        <v>17</v>
      </c>
      <c r="C123" s="2" t="s">
        <v>137</v>
      </c>
      <c r="D123" s="3">
        <v>0</v>
      </c>
      <c r="E123" s="3">
        <v>316</v>
      </c>
      <c r="F123" s="3">
        <v>0</v>
      </c>
      <c r="G123" s="3">
        <v>3419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268</v>
      </c>
      <c r="O123" s="3">
        <v>0</v>
      </c>
      <c r="P123" s="3">
        <v>0</v>
      </c>
      <c r="Q123" s="3">
        <v>0</v>
      </c>
      <c r="R123" s="3">
        <v>271</v>
      </c>
      <c r="S123" s="3">
        <v>1257</v>
      </c>
      <c r="T123" s="3">
        <v>0</v>
      </c>
      <c r="U123" s="3">
        <v>0</v>
      </c>
      <c r="V123" s="3">
        <v>0</v>
      </c>
      <c r="W123" s="3">
        <v>1518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1015</v>
      </c>
      <c r="AD123" s="13">
        <f t="shared" si="10"/>
        <v>5531</v>
      </c>
      <c r="AE123" s="13">
        <f t="shared" si="11"/>
        <v>1015</v>
      </c>
      <c r="AF123" s="13">
        <f t="shared" si="12"/>
        <v>1518</v>
      </c>
      <c r="AG123" s="13">
        <f t="shared" si="13"/>
        <v>51991</v>
      </c>
      <c r="AH123" s="13">
        <f t="shared" si="14"/>
        <v>1079</v>
      </c>
      <c r="AI123" s="13">
        <f t="shared" si="15"/>
        <v>1182081</v>
      </c>
    </row>
    <row r="124" spans="1:35" x14ac:dyDescent="0.25">
      <c r="A124" s="6" t="s">
        <v>173</v>
      </c>
      <c r="B124" s="2">
        <v>18</v>
      </c>
      <c r="C124" s="2" t="s">
        <v>138</v>
      </c>
      <c r="D124" s="3">
        <v>0</v>
      </c>
      <c r="E124" s="3">
        <v>90</v>
      </c>
      <c r="F124" s="3">
        <v>0</v>
      </c>
      <c r="G124" s="3">
        <v>1307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636</v>
      </c>
      <c r="O124" s="3">
        <v>0</v>
      </c>
      <c r="P124" s="3">
        <v>0</v>
      </c>
      <c r="Q124" s="3">
        <v>0</v>
      </c>
      <c r="R124" s="3">
        <v>287</v>
      </c>
      <c r="S124" s="3">
        <v>1292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13">
        <f t="shared" si="10"/>
        <v>3612</v>
      </c>
      <c r="AE124" s="13">
        <f t="shared" si="11"/>
        <v>0</v>
      </c>
      <c r="AF124" s="13">
        <f t="shared" si="12"/>
        <v>0</v>
      </c>
      <c r="AG124" s="13">
        <f t="shared" si="13"/>
        <v>55603</v>
      </c>
      <c r="AH124" s="13">
        <f t="shared" si="14"/>
        <v>1079</v>
      </c>
      <c r="AI124" s="13">
        <f t="shared" si="15"/>
        <v>1182081</v>
      </c>
    </row>
    <row r="125" spans="1:35" x14ac:dyDescent="0.25">
      <c r="A125" s="6" t="s">
        <v>173</v>
      </c>
      <c r="B125" s="2">
        <v>19</v>
      </c>
      <c r="C125" s="2" t="s">
        <v>139</v>
      </c>
      <c r="D125" s="3">
        <v>0</v>
      </c>
      <c r="E125" s="3">
        <v>6</v>
      </c>
      <c r="F125" s="3">
        <v>0</v>
      </c>
      <c r="G125" s="3">
        <v>1448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268</v>
      </c>
      <c r="O125" s="3">
        <v>0</v>
      </c>
      <c r="P125" s="3">
        <v>0</v>
      </c>
      <c r="Q125" s="3">
        <v>0</v>
      </c>
      <c r="R125" s="3">
        <v>631</v>
      </c>
      <c r="S125" s="3">
        <v>1066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55300</v>
      </c>
      <c r="AA125" s="3">
        <v>0</v>
      </c>
      <c r="AB125" s="3">
        <v>0</v>
      </c>
      <c r="AC125" s="3">
        <v>0</v>
      </c>
      <c r="AD125" s="13">
        <f t="shared" si="10"/>
        <v>3419</v>
      </c>
      <c r="AE125" s="13">
        <f t="shared" si="11"/>
        <v>0</v>
      </c>
      <c r="AF125" s="13">
        <f t="shared" si="12"/>
        <v>55300</v>
      </c>
      <c r="AG125" s="13">
        <f t="shared" si="13"/>
        <v>59022</v>
      </c>
      <c r="AH125" s="13">
        <f t="shared" si="14"/>
        <v>1079</v>
      </c>
      <c r="AI125" s="13">
        <f t="shared" si="15"/>
        <v>1237381</v>
      </c>
    </row>
    <row r="126" spans="1:35" x14ac:dyDescent="0.25">
      <c r="A126" s="6" t="s">
        <v>173</v>
      </c>
      <c r="B126" s="2">
        <v>20</v>
      </c>
      <c r="C126" s="2" t="s">
        <v>140</v>
      </c>
      <c r="D126" s="3">
        <v>1978</v>
      </c>
      <c r="E126" s="3">
        <v>35</v>
      </c>
      <c r="F126" s="3">
        <v>0</v>
      </c>
      <c r="G126" s="3">
        <v>2618</v>
      </c>
      <c r="H126" s="3">
        <v>0</v>
      </c>
      <c r="I126" s="3">
        <v>0</v>
      </c>
      <c r="J126" s="3">
        <v>0</v>
      </c>
      <c r="K126" s="3">
        <v>15013</v>
      </c>
      <c r="L126" s="3">
        <v>0</v>
      </c>
      <c r="M126" s="3">
        <v>0</v>
      </c>
      <c r="N126" s="3">
        <v>271</v>
      </c>
      <c r="O126" s="3">
        <v>0</v>
      </c>
      <c r="P126" s="3">
        <v>0</v>
      </c>
      <c r="Q126" s="3">
        <v>0</v>
      </c>
      <c r="R126" s="3">
        <v>494</v>
      </c>
      <c r="S126" s="3">
        <v>590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13">
        <f t="shared" si="10"/>
        <v>4008</v>
      </c>
      <c r="AE126" s="13">
        <f t="shared" si="11"/>
        <v>0</v>
      </c>
      <c r="AF126" s="13">
        <f t="shared" si="12"/>
        <v>16991</v>
      </c>
      <c r="AG126" s="13">
        <f t="shared" si="13"/>
        <v>63030</v>
      </c>
      <c r="AH126" s="13">
        <f t="shared" si="14"/>
        <v>1079</v>
      </c>
      <c r="AI126" s="13">
        <f t="shared" si="15"/>
        <v>1254372</v>
      </c>
    </row>
    <row r="127" spans="1:35" x14ac:dyDescent="0.25">
      <c r="A127" s="6" t="s">
        <v>173</v>
      </c>
      <c r="B127" s="2">
        <v>21</v>
      </c>
      <c r="C127" s="2" t="s">
        <v>141</v>
      </c>
      <c r="D127" s="3">
        <v>0</v>
      </c>
      <c r="E127" s="3">
        <v>35</v>
      </c>
      <c r="F127" s="3">
        <v>0</v>
      </c>
      <c r="G127" s="3">
        <v>2300</v>
      </c>
      <c r="H127" s="3">
        <v>0</v>
      </c>
      <c r="I127" s="3">
        <v>0</v>
      </c>
      <c r="J127" s="3">
        <v>0</v>
      </c>
      <c r="K127" s="3">
        <v>34402</v>
      </c>
      <c r="L127" s="3">
        <v>0</v>
      </c>
      <c r="M127" s="3">
        <v>0</v>
      </c>
      <c r="N127" s="3">
        <v>240</v>
      </c>
      <c r="O127" s="3">
        <v>0</v>
      </c>
      <c r="P127" s="3">
        <v>0</v>
      </c>
      <c r="Q127" s="3">
        <v>0</v>
      </c>
      <c r="R127" s="3">
        <v>461</v>
      </c>
      <c r="S127" s="3">
        <v>962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4785</v>
      </c>
      <c r="AA127" s="3">
        <v>0</v>
      </c>
      <c r="AB127" s="3">
        <v>0</v>
      </c>
      <c r="AC127" s="3">
        <v>0</v>
      </c>
      <c r="AD127" s="13">
        <f t="shared" si="10"/>
        <v>3998</v>
      </c>
      <c r="AE127" s="13">
        <f t="shared" si="11"/>
        <v>0</v>
      </c>
      <c r="AF127" s="13">
        <f t="shared" si="12"/>
        <v>39187</v>
      </c>
      <c r="AG127" s="13">
        <f t="shared" si="13"/>
        <v>67028</v>
      </c>
      <c r="AH127" s="13">
        <f t="shared" si="14"/>
        <v>1079</v>
      </c>
      <c r="AI127" s="13">
        <f t="shared" si="15"/>
        <v>1293559</v>
      </c>
    </row>
    <row r="128" spans="1:35" x14ac:dyDescent="0.25">
      <c r="A128" s="6" t="s">
        <v>173</v>
      </c>
      <c r="B128" s="2">
        <v>22</v>
      </c>
      <c r="C128" s="2" t="s">
        <v>142</v>
      </c>
      <c r="D128" s="3">
        <v>0</v>
      </c>
      <c r="E128" s="3">
        <v>45</v>
      </c>
      <c r="F128" s="3">
        <v>0</v>
      </c>
      <c r="G128" s="3">
        <v>1799</v>
      </c>
      <c r="H128" s="3">
        <v>0</v>
      </c>
      <c r="I128" s="3">
        <v>0</v>
      </c>
      <c r="J128" s="3">
        <v>0</v>
      </c>
      <c r="K128" s="3">
        <v>28273</v>
      </c>
      <c r="L128" s="3">
        <v>0</v>
      </c>
      <c r="M128" s="3">
        <v>0</v>
      </c>
      <c r="N128" s="3">
        <v>287</v>
      </c>
      <c r="O128" s="3">
        <v>0</v>
      </c>
      <c r="P128" s="3">
        <v>0</v>
      </c>
      <c r="Q128" s="3">
        <v>0</v>
      </c>
      <c r="R128" s="3">
        <v>529</v>
      </c>
      <c r="S128" s="3">
        <v>1949</v>
      </c>
      <c r="T128" s="3">
        <v>0</v>
      </c>
      <c r="U128" s="3">
        <v>0</v>
      </c>
      <c r="V128" s="3">
        <v>0</v>
      </c>
      <c r="W128" s="3">
        <v>1364</v>
      </c>
      <c r="X128" s="3">
        <v>0</v>
      </c>
      <c r="Y128" s="3">
        <v>0</v>
      </c>
      <c r="Z128" s="3">
        <v>47728</v>
      </c>
      <c r="AA128" s="3">
        <v>0</v>
      </c>
      <c r="AB128" s="3">
        <v>0</v>
      </c>
      <c r="AC128" s="3">
        <v>0</v>
      </c>
      <c r="AD128" s="13">
        <f t="shared" si="10"/>
        <v>4609</v>
      </c>
      <c r="AE128" s="13">
        <f t="shared" si="11"/>
        <v>0</v>
      </c>
      <c r="AF128" s="13">
        <f t="shared" si="12"/>
        <v>77365</v>
      </c>
      <c r="AG128" s="13">
        <f t="shared" si="13"/>
        <v>71637</v>
      </c>
      <c r="AH128" s="13">
        <f t="shared" si="14"/>
        <v>1079</v>
      </c>
      <c r="AI128" s="13">
        <f t="shared" si="15"/>
        <v>1370924</v>
      </c>
    </row>
    <row r="129" spans="1:35" x14ac:dyDescent="0.25">
      <c r="A129" s="6" t="s">
        <v>173</v>
      </c>
      <c r="B129" s="2">
        <v>23</v>
      </c>
      <c r="C129" s="2" t="s">
        <v>143</v>
      </c>
      <c r="D129" s="3">
        <v>0</v>
      </c>
      <c r="E129" s="3">
        <v>34</v>
      </c>
      <c r="F129" s="3">
        <v>0</v>
      </c>
      <c r="G129" s="3">
        <v>1972</v>
      </c>
      <c r="H129" s="3">
        <v>0</v>
      </c>
      <c r="I129" s="3">
        <v>0</v>
      </c>
      <c r="J129" s="3">
        <v>0</v>
      </c>
      <c r="K129" s="3">
        <v>24477</v>
      </c>
      <c r="L129" s="3">
        <v>0</v>
      </c>
      <c r="M129" s="3">
        <v>0</v>
      </c>
      <c r="N129" s="3">
        <v>409</v>
      </c>
      <c r="O129" s="3">
        <v>0</v>
      </c>
      <c r="P129" s="3">
        <v>0</v>
      </c>
      <c r="Q129" s="3">
        <v>0</v>
      </c>
      <c r="R129" s="3">
        <v>592</v>
      </c>
      <c r="S129" s="3">
        <v>561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23531</v>
      </c>
      <c r="AA129" s="3">
        <v>0</v>
      </c>
      <c r="AB129" s="3">
        <v>0</v>
      </c>
      <c r="AC129" s="3">
        <v>0</v>
      </c>
      <c r="AD129" s="13">
        <f t="shared" si="10"/>
        <v>3568</v>
      </c>
      <c r="AE129" s="13">
        <f t="shared" si="11"/>
        <v>0</v>
      </c>
      <c r="AF129" s="13">
        <f t="shared" si="12"/>
        <v>48008</v>
      </c>
      <c r="AG129" s="13">
        <f t="shared" si="13"/>
        <v>75205</v>
      </c>
      <c r="AH129" s="13">
        <f t="shared" si="14"/>
        <v>1079</v>
      </c>
      <c r="AI129" s="13">
        <f t="shared" si="15"/>
        <v>1418932</v>
      </c>
    </row>
    <row r="130" spans="1:35" x14ac:dyDescent="0.25">
      <c r="A130" s="6" t="s">
        <v>173</v>
      </c>
      <c r="B130" s="2">
        <v>24</v>
      </c>
      <c r="C130" s="2" t="s">
        <v>144</v>
      </c>
      <c r="D130" s="3">
        <v>0</v>
      </c>
      <c r="E130" s="3">
        <v>0</v>
      </c>
      <c r="F130" s="3">
        <v>0</v>
      </c>
      <c r="G130" s="3">
        <v>2896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103</v>
      </c>
      <c r="O130" s="3">
        <v>0</v>
      </c>
      <c r="P130" s="3">
        <v>0</v>
      </c>
      <c r="Q130" s="3">
        <v>0</v>
      </c>
      <c r="R130" s="3">
        <v>829</v>
      </c>
      <c r="S130" s="3">
        <v>615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31226</v>
      </c>
      <c r="AA130" s="3">
        <v>0</v>
      </c>
      <c r="AB130" s="3">
        <v>0</v>
      </c>
      <c r="AC130" s="3">
        <v>0</v>
      </c>
      <c r="AD130" s="13">
        <f t="shared" ref="AD130:AD193" si="16">E130+S130+N130+G130+R130</f>
        <v>4443</v>
      </c>
      <c r="AE130" s="13">
        <f t="shared" ref="AE130:AE193" si="17">AC130</f>
        <v>0</v>
      </c>
      <c r="AF130" s="13">
        <f t="shared" ref="AF130:AF193" si="18">SUM(D130:AC130)-AD130-AE130</f>
        <v>31226</v>
      </c>
      <c r="AG130" s="13">
        <f t="shared" si="13"/>
        <v>79648</v>
      </c>
      <c r="AH130" s="13">
        <f t="shared" si="14"/>
        <v>1079</v>
      </c>
      <c r="AI130" s="13">
        <f t="shared" si="15"/>
        <v>1450158</v>
      </c>
    </row>
    <row r="131" spans="1:35" x14ac:dyDescent="0.25">
      <c r="A131" s="6" t="s">
        <v>173</v>
      </c>
      <c r="B131" s="2">
        <v>25</v>
      </c>
      <c r="C131" s="2" t="s">
        <v>145</v>
      </c>
      <c r="D131" s="3">
        <v>0</v>
      </c>
      <c r="E131" s="3">
        <v>35</v>
      </c>
      <c r="F131" s="3">
        <v>0</v>
      </c>
      <c r="G131" s="3">
        <v>1814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144</v>
      </c>
      <c r="O131" s="3">
        <v>0</v>
      </c>
      <c r="P131" s="3">
        <v>0</v>
      </c>
      <c r="Q131" s="3">
        <v>0</v>
      </c>
      <c r="R131" s="3">
        <v>683</v>
      </c>
      <c r="S131" s="3">
        <v>898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2477</v>
      </c>
      <c r="AA131" s="3">
        <v>52718</v>
      </c>
      <c r="AB131" s="3">
        <v>0</v>
      </c>
      <c r="AC131" s="3">
        <v>0</v>
      </c>
      <c r="AD131" s="13">
        <f t="shared" si="16"/>
        <v>3574</v>
      </c>
      <c r="AE131" s="13">
        <f t="shared" si="17"/>
        <v>0</v>
      </c>
      <c r="AF131" s="13">
        <f t="shared" si="18"/>
        <v>55195</v>
      </c>
      <c r="AG131" s="13">
        <f t="shared" si="13"/>
        <v>83222</v>
      </c>
      <c r="AH131" s="13">
        <f t="shared" si="14"/>
        <v>1079</v>
      </c>
      <c r="AI131" s="13">
        <f t="shared" si="15"/>
        <v>1505353</v>
      </c>
    </row>
    <row r="132" spans="1:35" x14ac:dyDescent="0.25">
      <c r="A132" s="6" t="s">
        <v>173</v>
      </c>
      <c r="B132" s="2">
        <v>26</v>
      </c>
      <c r="C132" s="2" t="s">
        <v>146</v>
      </c>
      <c r="D132" s="3">
        <v>0</v>
      </c>
      <c r="E132" s="3">
        <v>0</v>
      </c>
      <c r="F132" s="3">
        <v>0</v>
      </c>
      <c r="G132" s="3">
        <v>2350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265</v>
      </c>
      <c r="O132" s="3">
        <v>0</v>
      </c>
      <c r="P132" s="3">
        <v>0</v>
      </c>
      <c r="Q132" s="3">
        <v>0</v>
      </c>
      <c r="R132" s="3">
        <v>635</v>
      </c>
      <c r="S132" s="3">
        <v>863</v>
      </c>
      <c r="T132" s="3">
        <v>0</v>
      </c>
      <c r="U132" s="3">
        <v>0</v>
      </c>
      <c r="V132" s="3">
        <v>0</v>
      </c>
      <c r="W132" s="3">
        <v>506</v>
      </c>
      <c r="X132" s="3">
        <v>0</v>
      </c>
      <c r="Y132" s="3">
        <v>0</v>
      </c>
      <c r="Z132" s="3">
        <v>51501</v>
      </c>
      <c r="AA132" s="3">
        <v>0</v>
      </c>
      <c r="AB132" s="3">
        <v>0</v>
      </c>
      <c r="AC132" s="3">
        <v>0</v>
      </c>
      <c r="AD132" s="13">
        <f t="shared" si="16"/>
        <v>4113</v>
      </c>
      <c r="AE132" s="13">
        <f t="shared" si="17"/>
        <v>0</v>
      </c>
      <c r="AF132" s="13">
        <f t="shared" si="18"/>
        <v>52007</v>
      </c>
      <c r="AG132" s="13">
        <f t="shared" si="13"/>
        <v>87335</v>
      </c>
      <c r="AH132" s="13">
        <f t="shared" si="14"/>
        <v>1079</v>
      </c>
      <c r="AI132" s="13">
        <f t="shared" si="15"/>
        <v>1557360</v>
      </c>
    </row>
    <row r="133" spans="1:35" x14ac:dyDescent="0.25">
      <c r="A133" s="6" t="s">
        <v>173</v>
      </c>
      <c r="B133" s="2">
        <v>27</v>
      </c>
      <c r="C133" s="2" t="s">
        <v>147</v>
      </c>
      <c r="D133" s="3">
        <v>0</v>
      </c>
      <c r="E133" s="3">
        <v>32</v>
      </c>
      <c r="F133" s="3">
        <v>0</v>
      </c>
      <c r="G133" s="3">
        <v>1894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271</v>
      </c>
      <c r="O133" s="3">
        <v>0</v>
      </c>
      <c r="P133" s="3">
        <v>0</v>
      </c>
      <c r="Q133" s="3">
        <v>0</v>
      </c>
      <c r="R133" s="3">
        <v>901</v>
      </c>
      <c r="S133" s="3">
        <v>1607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51648</v>
      </c>
      <c r="AA133" s="3">
        <v>0</v>
      </c>
      <c r="AB133" s="3">
        <v>0</v>
      </c>
      <c r="AC133" s="3">
        <v>0</v>
      </c>
      <c r="AD133" s="13">
        <f t="shared" si="16"/>
        <v>4705</v>
      </c>
      <c r="AE133" s="13">
        <f t="shared" si="17"/>
        <v>0</v>
      </c>
      <c r="AF133" s="13">
        <f t="shared" si="18"/>
        <v>51648</v>
      </c>
      <c r="AG133" s="13">
        <f t="shared" si="13"/>
        <v>92040</v>
      </c>
      <c r="AH133" s="13">
        <f t="shared" si="14"/>
        <v>1079</v>
      </c>
      <c r="AI133" s="13">
        <f t="shared" si="15"/>
        <v>1609008</v>
      </c>
    </row>
    <row r="134" spans="1:35" x14ac:dyDescent="0.25">
      <c r="A134" s="6" t="s">
        <v>173</v>
      </c>
      <c r="B134" s="2">
        <v>28</v>
      </c>
      <c r="C134" s="2" t="s">
        <v>148</v>
      </c>
      <c r="D134" s="3">
        <v>1983</v>
      </c>
      <c r="E134" s="3">
        <v>100</v>
      </c>
      <c r="F134" s="3">
        <v>0</v>
      </c>
      <c r="G134" s="3">
        <v>2267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432</v>
      </c>
      <c r="O134" s="3">
        <v>0</v>
      </c>
      <c r="P134" s="3">
        <v>0</v>
      </c>
      <c r="Q134" s="3">
        <v>0</v>
      </c>
      <c r="R134" s="3">
        <v>1473</v>
      </c>
      <c r="S134" s="3">
        <v>984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13">
        <f t="shared" si="16"/>
        <v>5256</v>
      </c>
      <c r="AE134" s="13">
        <f t="shared" si="17"/>
        <v>0</v>
      </c>
      <c r="AF134" s="13">
        <f t="shared" si="18"/>
        <v>1983</v>
      </c>
      <c r="AG134" s="13">
        <f t="shared" si="13"/>
        <v>97296</v>
      </c>
      <c r="AH134" s="13">
        <f t="shared" si="14"/>
        <v>1079</v>
      </c>
      <c r="AI134" s="13">
        <f t="shared" si="15"/>
        <v>1610991</v>
      </c>
    </row>
    <row r="135" spans="1:35" x14ac:dyDescent="0.25">
      <c r="A135" s="6" t="s">
        <v>173</v>
      </c>
      <c r="B135" s="2">
        <v>29</v>
      </c>
      <c r="C135" s="2" t="s">
        <v>149</v>
      </c>
      <c r="D135" s="3">
        <v>0</v>
      </c>
      <c r="E135" s="3">
        <v>0</v>
      </c>
      <c r="F135" s="3">
        <v>0</v>
      </c>
      <c r="G135" s="3">
        <v>1794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814</v>
      </c>
      <c r="O135" s="3">
        <v>0</v>
      </c>
      <c r="P135" s="3">
        <v>0</v>
      </c>
      <c r="Q135" s="3">
        <v>0</v>
      </c>
      <c r="R135" s="3">
        <v>1106</v>
      </c>
      <c r="S135" s="3">
        <v>1096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13">
        <f t="shared" si="16"/>
        <v>4810</v>
      </c>
      <c r="AE135" s="13">
        <f t="shared" si="17"/>
        <v>0</v>
      </c>
      <c r="AF135" s="13">
        <f t="shared" si="18"/>
        <v>0</v>
      </c>
      <c r="AG135" s="13">
        <f t="shared" si="13"/>
        <v>102106</v>
      </c>
      <c r="AH135" s="13">
        <f t="shared" si="14"/>
        <v>1079</v>
      </c>
      <c r="AI135" s="13">
        <f t="shared" si="15"/>
        <v>1610991</v>
      </c>
    </row>
    <row r="136" spans="1:35" x14ac:dyDescent="0.25">
      <c r="A136" s="6" t="s">
        <v>173</v>
      </c>
      <c r="B136" s="2">
        <v>30</v>
      </c>
      <c r="C136" s="2" t="s">
        <v>150</v>
      </c>
      <c r="D136" s="3">
        <v>0</v>
      </c>
      <c r="E136" s="3">
        <v>0</v>
      </c>
      <c r="F136" s="3">
        <v>0</v>
      </c>
      <c r="G136" s="3">
        <v>3011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880</v>
      </c>
      <c r="O136" s="3">
        <v>0</v>
      </c>
      <c r="P136" s="3">
        <v>0</v>
      </c>
      <c r="Q136" s="3">
        <v>0</v>
      </c>
      <c r="R136" s="3">
        <v>2055</v>
      </c>
      <c r="S136" s="3">
        <v>1549</v>
      </c>
      <c r="T136" s="3">
        <v>0</v>
      </c>
      <c r="U136" s="3">
        <v>0</v>
      </c>
      <c r="V136" s="3">
        <v>0</v>
      </c>
      <c r="W136" s="3">
        <v>2054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13">
        <f t="shared" si="16"/>
        <v>7495</v>
      </c>
      <c r="AE136" s="13">
        <f t="shared" si="17"/>
        <v>0</v>
      </c>
      <c r="AF136" s="13">
        <f t="shared" si="18"/>
        <v>2054</v>
      </c>
      <c r="AG136" s="13">
        <f t="shared" si="13"/>
        <v>109601</v>
      </c>
      <c r="AH136" s="13">
        <f t="shared" si="14"/>
        <v>1079</v>
      </c>
      <c r="AI136" s="13">
        <f t="shared" si="15"/>
        <v>1613045</v>
      </c>
    </row>
    <row r="137" spans="1:35" x14ac:dyDescent="0.25">
      <c r="A137" s="6" t="s">
        <v>173</v>
      </c>
      <c r="B137" s="2">
        <v>31</v>
      </c>
      <c r="C137" s="2" t="s">
        <v>151</v>
      </c>
      <c r="D137" s="3">
        <v>0</v>
      </c>
      <c r="E137" s="3">
        <v>32</v>
      </c>
      <c r="F137" s="3">
        <v>0</v>
      </c>
      <c r="G137" s="3">
        <v>2455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132</v>
      </c>
      <c r="O137" s="3">
        <v>0</v>
      </c>
      <c r="P137" s="3">
        <v>0</v>
      </c>
      <c r="Q137" s="3">
        <v>0</v>
      </c>
      <c r="R137" s="3">
        <v>1860</v>
      </c>
      <c r="S137" s="3">
        <v>1117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13">
        <f t="shared" si="16"/>
        <v>5596</v>
      </c>
      <c r="AE137" s="13">
        <f t="shared" si="17"/>
        <v>0</v>
      </c>
      <c r="AF137" s="13">
        <f t="shared" si="18"/>
        <v>0</v>
      </c>
      <c r="AG137" s="13">
        <f t="shared" si="13"/>
        <v>115197</v>
      </c>
      <c r="AH137" s="13">
        <f t="shared" si="14"/>
        <v>1079</v>
      </c>
      <c r="AI137" s="13">
        <f t="shared" si="15"/>
        <v>1613045</v>
      </c>
    </row>
    <row r="138" spans="1:35" x14ac:dyDescent="0.25">
      <c r="A138" s="6" t="s">
        <v>173</v>
      </c>
      <c r="B138" s="2">
        <v>32</v>
      </c>
      <c r="C138" s="2" t="s">
        <v>152</v>
      </c>
      <c r="D138" s="3">
        <v>0</v>
      </c>
      <c r="E138" s="3">
        <v>460</v>
      </c>
      <c r="F138" s="3">
        <v>0</v>
      </c>
      <c r="G138" s="3">
        <v>2464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3</v>
      </c>
      <c r="O138" s="3">
        <v>0</v>
      </c>
      <c r="P138" s="3">
        <v>0</v>
      </c>
      <c r="Q138" s="3">
        <v>0</v>
      </c>
      <c r="R138" s="3">
        <v>1529</v>
      </c>
      <c r="S138" s="3">
        <v>559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13">
        <f t="shared" si="16"/>
        <v>5015</v>
      </c>
      <c r="AE138" s="13">
        <f t="shared" si="17"/>
        <v>0</v>
      </c>
      <c r="AF138" s="13">
        <f t="shared" si="18"/>
        <v>0</v>
      </c>
      <c r="AG138" s="13">
        <f t="shared" si="13"/>
        <v>120212</v>
      </c>
      <c r="AH138" s="13">
        <f t="shared" si="14"/>
        <v>1079</v>
      </c>
      <c r="AI138" s="13">
        <f t="shared" si="15"/>
        <v>1613045</v>
      </c>
    </row>
    <row r="139" spans="1:35" x14ac:dyDescent="0.25">
      <c r="A139" s="6" t="s">
        <v>173</v>
      </c>
      <c r="B139" s="2">
        <v>33</v>
      </c>
      <c r="C139" s="2" t="s">
        <v>153</v>
      </c>
      <c r="D139" s="3">
        <v>0</v>
      </c>
      <c r="E139" s="3">
        <v>1503</v>
      </c>
      <c r="F139" s="3">
        <v>0</v>
      </c>
      <c r="G139" s="3">
        <v>2095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136</v>
      </c>
      <c r="O139" s="3">
        <v>0</v>
      </c>
      <c r="P139" s="3">
        <v>0</v>
      </c>
      <c r="Q139" s="3">
        <v>0</v>
      </c>
      <c r="R139" s="3">
        <v>803</v>
      </c>
      <c r="S139" s="3">
        <v>320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13">
        <f t="shared" si="16"/>
        <v>4857</v>
      </c>
      <c r="AE139" s="13">
        <f t="shared" si="17"/>
        <v>0</v>
      </c>
      <c r="AF139" s="13">
        <f t="shared" si="18"/>
        <v>0</v>
      </c>
      <c r="AG139" s="13">
        <f t="shared" si="13"/>
        <v>125069</v>
      </c>
      <c r="AH139" s="13">
        <f t="shared" si="14"/>
        <v>1079</v>
      </c>
      <c r="AI139" s="13">
        <f t="shared" si="15"/>
        <v>1613045</v>
      </c>
    </row>
    <row r="140" spans="1:35" x14ac:dyDescent="0.25">
      <c r="A140" s="6" t="s">
        <v>173</v>
      </c>
      <c r="B140" s="2">
        <v>34</v>
      </c>
      <c r="C140" s="2" t="s">
        <v>154</v>
      </c>
      <c r="D140" s="3">
        <v>0</v>
      </c>
      <c r="E140" s="3">
        <v>1766</v>
      </c>
      <c r="F140" s="3">
        <v>0</v>
      </c>
      <c r="G140" s="3">
        <v>2509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201</v>
      </c>
      <c r="O140" s="3">
        <v>0</v>
      </c>
      <c r="P140" s="3">
        <v>0</v>
      </c>
      <c r="Q140" s="3">
        <v>0</v>
      </c>
      <c r="R140" s="3">
        <v>620</v>
      </c>
      <c r="S140" s="3">
        <v>106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13">
        <f t="shared" si="16"/>
        <v>5202</v>
      </c>
      <c r="AE140" s="13">
        <f t="shared" si="17"/>
        <v>0</v>
      </c>
      <c r="AF140" s="13">
        <f t="shared" si="18"/>
        <v>0</v>
      </c>
      <c r="AG140" s="13">
        <f t="shared" si="13"/>
        <v>130271</v>
      </c>
      <c r="AH140" s="13">
        <f t="shared" si="14"/>
        <v>1079</v>
      </c>
      <c r="AI140" s="13">
        <f t="shared" si="15"/>
        <v>1613045</v>
      </c>
    </row>
    <row r="141" spans="1:35" x14ac:dyDescent="0.25">
      <c r="A141" s="6" t="s">
        <v>173</v>
      </c>
      <c r="B141" s="2">
        <v>35</v>
      </c>
      <c r="C141" s="2" t="s">
        <v>155</v>
      </c>
      <c r="D141" s="3">
        <v>0</v>
      </c>
      <c r="E141" s="3">
        <v>1085</v>
      </c>
      <c r="F141" s="3">
        <v>0</v>
      </c>
      <c r="G141" s="3">
        <v>1041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96</v>
      </c>
      <c r="O141" s="3">
        <v>0</v>
      </c>
      <c r="P141" s="3">
        <v>0</v>
      </c>
      <c r="Q141" s="3">
        <v>0</v>
      </c>
      <c r="R141" s="3">
        <v>698</v>
      </c>
      <c r="S141" s="3">
        <v>668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13">
        <f t="shared" si="16"/>
        <v>3588</v>
      </c>
      <c r="AE141" s="13">
        <f t="shared" si="17"/>
        <v>0</v>
      </c>
      <c r="AF141" s="13">
        <f t="shared" si="18"/>
        <v>0</v>
      </c>
      <c r="AG141" s="13">
        <f t="shared" si="13"/>
        <v>133859</v>
      </c>
      <c r="AH141" s="13">
        <f t="shared" si="14"/>
        <v>1079</v>
      </c>
      <c r="AI141" s="13">
        <f t="shared" si="15"/>
        <v>1613045</v>
      </c>
    </row>
    <row r="142" spans="1:35" x14ac:dyDescent="0.25">
      <c r="A142" s="6" t="s">
        <v>173</v>
      </c>
      <c r="B142" s="2">
        <v>36</v>
      </c>
      <c r="C142" s="2" t="s">
        <v>156</v>
      </c>
      <c r="D142" s="3">
        <v>0</v>
      </c>
      <c r="E142" s="3">
        <v>1103</v>
      </c>
      <c r="F142" s="3">
        <v>0</v>
      </c>
      <c r="G142" s="3">
        <v>2575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69</v>
      </c>
      <c r="O142" s="3">
        <v>0</v>
      </c>
      <c r="P142" s="3">
        <v>0</v>
      </c>
      <c r="Q142" s="3">
        <v>0</v>
      </c>
      <c r="R142" s="3">
        <v>382</v>
      </c>
      <c r="S142" s="3">
        <v>176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13">
        <f t="shared" si="16"/>
        <v>4305</v>
      </c>
      <c r="AE142" s="13">
        <f t="shared" si="17"/>
        <v>0</v>
      </c>
      <c r="AF142" s="13">
        <f t="shared" si="18"/>
        <v>0</v>
      </c>
      <c r="AG142" s="13">
        <f t="shared" si="13"/>
        <v>138164</v>
      </c>
      <c r="AH142" s="13">
        <f t="shared" si="14"/>
        <v>1079</v>
      </c>
      <c r="AI142" s="13">
        <f t="shared" si="15"/>
        <v>1613045</v>
      </c>
    </row>
    <row r="143" spans="1:35" x14ac:dyDescent="0.25">
      <c r="A143" s="6" t="s">
        <v>173</v>
      </c>
      <c r="B143" s="2">
        <v>37</v>
      </c>
      <c r="C143" s="2" t="s">
        <v>157</v>
      </c>
      <c r="D143" s="3">
        <v>0</v>
      </c>
      <c r="E143" s="3">
        <v>1554</v>
      </c>
      <c r="F143" s="3">
        <v>0</v>
      </c>
      <c r="G143" s="3">
        <v>2795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3</v>
      </c>
      <c r="O143" s="3">
        <v>0</v>
      </c>
      <c r="P143" s="3">
        <v>0</v>
      </c>
      <c r="Q143" s="3">
        <v>0</v>
      </c>
      <c r="R143" s="3">
        <v>1699</v>
      </c>
      <c r="S143" s="3">
        <v>285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64</v>
      </c>
      <c r="AD143" s="13">
        <f t="shared" si="16"/>
        <v>6336</v>
      </c>
      <c r="AE143" s="13">
        <f t="shared" si="17"/>
        <v>64</v>
      </c>
      <c r="AF143" s="13">
        <f t="shared" si="18"/>
        <v>0</v>
      </c>
      <c r="AG143" s="13">
        <f t="shared" si="13"/>
        <v>144500</v>
      </c>
      <c r="AH143" s="13">
        <f t="shared" si="14"/>
        <v>1143</v>
      </c>
      <c r="AI143" s="13">
        <f t="shared" si="15"/>
        <v>1613045</v>
      </c>
    </row>
    <row r="144" spans="1:35" x14ac:dyDescent="0.25">
      <c r="A144" s="6" t="s">
        <v>173</v>
      </c>
      <c r="B144" s="2">
        <v>38</v>
      </c>
      <c r="C144" s="2" t="s">
        <v>158</v>
      </c>
      <c r="D144" s="3">
        <v>0</v>
      </c>
      <c r="E144" s="3">
        <v>1307</v>
      </c>
      <c r="F144" s="3">
        <v>0</v>
      </c>
      <c r="G144" s="3">
        <v>2425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5</v>
      </c>
      <c r="O144" s="3">
        <v>0</v>
      </c>
      <c r="P144" s="3">
        <v>0</v>
      </c>
      <c r="Q144" s="3">
        <v>0</v>
      </c>
      <c r="R144" s="3">
        <v>1660</v>
      </c>
      <c r="S144" s="3">
        <v>203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104</v>
      </c>
      <c r="AD144" s="13">
        <f t="shared" si="16"/>
        <v>5600</v>
      </c>
      <c r="AE144" s="13">
        <f t="shared" si="17"/>
        <v>104</v>
      </c>
      <c r="AF144" s="13">
        <f t="shared" si="18"/>
        <v>0</v>
      </c>
      <c r="AG144" s="13">
        <f t="shared" si="13"/>
        <v>150100</v>
      </c>
      <c r="AH144" s="13">
        <f t="shared" si="14"/>
        <v>1247</v>
      </c>
      <c r="AI144" s="13">
        <f t="shared" si="15"/>
        <v>1613045</v>
      </c>
    </row>
    <row r="145" spans="1:35" x14ac:dyDescent="0.25">
      <c r="A145" s="6" t="s">
        <v>173</v>
      </c>
      <c r="B145" s="2">
        <v>39</v>
      </c>
      <c r="C145" s="2" t="s">
        <v>159</v>
      </c>
      <c r="D145" s="3">
        <v>0</v>
      </c>
      <c r="E145" s="3">
        <v>1384</v>
      </c>
      <c r="F145" s="3">
        <v>0</v>
      </c>
      <c r="G145" s="3">
        <v>1248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11</v>
      </c>
      <c r="O145" s="3">
        <v>0</v>
      </c>
      <c r="P145" s="3">
        <v>0</v>
      </c>
      <c r="Q145" s="3">
        <v>0</v>
      </c>
      <c r="R145" s="3">
        <v>1374</v>
      </c>
      <c r="S145" s="3">
        <v>420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781</v>
      </c>
      <c r="AD145" s="13">
        <f t="shared" si="16"/>
        <v>4437</v>
      </c>
      <c r="AE145" s="13">
        <f t="shared" si="17"/>
        <v>781</v>
      </c>
      <c r="AF145" s="13">
        <f t="shared" si="18"/>
        <v>0</v>
      </c>
      <c r="AG145" s="13">
        <f t="shared" si="13"/>
        <v>154537</v>
      </c>
      <c r="AH145" s="13">
        <f t="shared" si="14"/>
        <v>2028</v>
      </c>
      <c r="AI145" s="13">
        <f t="shared" si="15"/>
        <v>1613045</v>
      </c>
    </row>
    <row r="146" spans="1:35" x14ac:dyDescent="0.25">
      <c r="A146" s="6" t="s">
        <v>173</v>
      </c>
      <c r="B146" s="2">
        <v>40</v>
      </c>
      <c r="C146" s="2" t="s">
        <v>160</v>
      </c>
      <c r="D146" s="3">
        <v>0</v>
      </c>
      <c r="E146" s="3">
        <v>1627</v>
      </c>
      <c r="F146" s="3">
        <v>0</v>
      </c>
      <c r="G146" s="3">
        <v>957</v>
      </c>
      <c r="H146" s="3">
        <v>0</v>
      </c>
      <c r="I146" s="3">
        <v>0</v>
      </c>
      <c r="J146" s="3">
        <v>983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1527</v>
      </c>
      <c r="S146" s="3">
        <v>165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376</v>
      </c>
      <c r="AD146" s="13">
        <f t="shared" si="16"/>
        <v>4276</v>
      </c>
      <c r="AE146" s="13">
        <f t="shared" si="17"/>
        <v>376</v>
      </c>
      <c r="AF146" s="13">
        <f t="shared" si="18"/>
        <v>983</v>
      </c>
      <c r="AG146" s="13">
        <f t="shared" si="13"/>
        <v>158813</v>
      </c>
      <c r="AH146" s="13">
        <f t="shared" si="14"/>
        <v>2404</v>
      </c>
      <c r="AI146" s="13">
        <f t="shared" si="15"/>
        <v>1614028</v>
      </c>
    </row>
    <row r="147" spans="1:35" x14ac:dyDescent="0.25">
      <c r="A147" s="6" t="s">
        <v>173</v>
      </c>
      <c r="B147" s="2">
        <v>41</v>
      </c>
      <c r="C147" s="2" t="s">
        <v>161</v>
      </c>
      <c r="D147" s="3">
        <v>0</v>
      </c>
      <c r="E147" s="3">
        <v>1586</v>
      </c>
      <c r="F147" s="3">
        <v>0</v>
      </c>
      <c r="G147" s="3">
        <v>1834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11</v>
      </c>
      <c r="O147" s="3">
        <v>0</v>
      </c>
      <c r="P147" s="3">
        <v>0</v>
      </c>
      <c r="Q147" s="3">
        <v>0</v>
      </c>
      <c r="R147" s="3">
        <v>1497</v>
      </c>
      <c r="S147" s="3">
        <v>174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751</v>
      </c>
      <c r="AD147" s="13">
        <f t="shared" si="16"/>
        <v>5102</v>
      </c>
      <c r="AE147" s="13">
        <f t="shared" si="17"/>
        <v>751</v>
      </c>
      <c r="AF147" s="13">
        <f t="shared" si="18"/>
        <v>0</v>
      </c>
      <c r="AG147" s="13">
        <f t="shared" si="13"/>
        <v>163915</v>
      </c>
      <c r="AH147" s="13">
        <f t="shared" si="14"/>
        <v>3155</v>
      </c>
      <c r="AI147" s="13">
        <f t="shared" si="15"/>
        <v>1614028</v>
      </c>
    </row>
    <row r="148" spans="1:35" x14ac:dyDescent="0.25">
      <c r="A148" s="6" t="s">
        <v>173</v>
      </c>
      <c r="B148" s="2">
        <v>42</v>
      </c>
      <c r="C148" s="2" t="s">
        <v>162</v>
      </c>
      <c r="D148" s="3">
        <v>0</v>
      </c>
      <c r="E148" s="3">
        <v>828</v>
      </c>
      <c r="F148" s="3">
        <v>0</v>
      </c>
      <c r="G148" s="3">
        <v>1637</v>
      </c>
      <c r="H148" s="3">
        <v>0</v>
      </c>
      <c r="I148" s="3">
        <v>0</v>
      </c>
      <c r="J148" s="3">
        <v>807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1483</v>
      </c>
      <c r="S148" s="3">
        <v>211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1067</v>
      </c>
      <c r="AD148" s="13">
        <f t="shared" si="16"/>
        <v>4159</v>
      </c>
      <c r="AE148" s="13">
        <f t="shared" si="17"/>
        <v>1067</v>
      </c>
      <c r="AF148" s="13">
        <f t="shared" si="18"/>
        <v>807</v>
      </c>
      <c r="AG148" s="13">
        <f t="shared" si="13"/>
        <v>168074</v>
      </c>
      <c r="AH148" s="13">
        <f t="shared" si="14"/>
        <v>4222</v>
      </c>
      <c r="AI148" s="13">
        <f t="shared" si="15"/>
        <v>1614835</v>
      </c>
    </row>
    <row r="149" spans="1:35" x14ac:dyDescent="0.25">
      <c r="A149" s="6" t="s">
        <v>173</v>
      </c>
      <c r="B149" s="2">
        <v>43</v>
      </c>
      <c r="C149" s="2" t="s">
        <v>163</v>
      </c>
      <c r="D149" s="3">
        <v>0</v>
      </c>
      <c r="E149" s="3">
        <v>557</v>
      </c>
      <c r="F149" s="3">
        <v>0</v>
      </c>
      <c r="G149" s="3">
        <v>1481</v>
      </c>
      <c r="H149" s="3">
        <v>0</v>
      </c>
      <c r="I149" s="3">
        <v>0</v>
      </c>
      <c r="J149" s="3">
        <v>0</v>
      </c>
      <c r="K149" s="3">
        <v>50146</v>
      </c>
      <c r="L149" s="3">
        <v>0</v>
      </c>
      <c r="M149" s="3">
        <v>0</v>
      </c>
      <c r="N149" s="3">
        <v>7</v>
      </c>
      <c r="O149" s="3">
        <v>0</v>
      </c>
      <c r="P149" s="3">
        <v>0</v>
      </c>
      <c r="Q149" s="3">
        <v>0</v>
      </c>
      <c r="R149" s="3">
        <v>1343</v>
      </c>
      <c r="S149" s="3">
        <v>184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>
        <v>5</v>
      </c>
      <c r="AD149" s="13">
        <f t="shared" si="16"/>
        <v>3572</v>
      </c>
      <c r="AE149" s="13">
        <f t="shared" si="17"/>
        <v>5</v>
      </c>
      <c r="AF149" s="13">
        <f t="shared" si="18"/>
        <v>50146</v>
      </c>
      <c r="AG149" s="13">
        <f t="shared" si="13"/>
        <v>171646</v>
      </c>
      <c r="AH149" s="13">
        <f t="shared" si="14"/>
        <v>4227</v>
      </c>
      <c r="AI149" s="13">
        <f t="shared" si="15"/>
        <v>1664981</v>
      </c>
    </row>
    <row r="150" spans="1:35" x14ac:dyDescent="0.25">
      <c r="A150" s="6" t="s">
        <v>173</v>
      </c>
      <c r="B150" s="2">
        <v>44</v>
      </c>
      <c r="C150" s="2" t="s">
        <v>164</v>
      </c>
      <c r="D150" s="3">
        <v>0</v>
      </c>
      <c r="E150" s="3">
        <v>1362</v>
      </c>
      <c r="F150" s="3">
        <v>0</v>
      </c>
      <c r="G150" s="3">
        <v>1786</v>
      </c>
      <c r="H150" s="3">
        <v>0</v>
      </c>
      <c r="I150" s="3">
        <v>0</v>
      </c>
      <c r="J150" s="3">
        <v>2231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621</v>
      </c>
      <c r="S150" s="3">
        <v>305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809</v>
      </c>
      <c r="AD150" s="13">
        <f t="shared" si="16"/>
        <v>4074</v>
      </c>
      <c r="AE150" s="13">
        <f t="shared" si="17"/>
        <v>809</v>
      </c>
      <c r="AF150" s="13">
        <f t="shared" si="18"/>
        <v>2231</v>
      </c>
      <c r="AG150" s="13">
        <f t="shared" si="13"/>
        <v>175720</v>
      </c>
      <c r="AH150" s="13">
        <f t="shared" si="14"/>
        <v>5036</v>
      </c>
      <c r="AI150" s="13">
        <f t="shared" si="15"/>
        <v>1667212</v>
      </c>
    </row>
    <row r="151" spans="1:35" x14ac:dyDescent="0.25">
      <c r="A151" s="6" t="s">
        <v>173</v>
      </c>
      <c r="B151" s="2">
        <v>45</v>
      </c>
      <c r="C151" s="2" t="s">
        <v>165</v>
      </c>
      <c r="D151" s="3">
        <v>0</v>
      </c>
      <c r="E151" s="3">
        <v>1110</v>
      </c>
      <c r="F151" s="3">
        <v>0</v>
      </c>
      <c r="G151" s="3">
        <v>978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959</v>
      </c>
      <c r="S151" s="3">
        <v>242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1167</v>
      </c>
      <c r="AD151" s="13">
        <f t="shared" si="16"/>
        <v>3289</v>
      </c>
      <c r="AE151" s="13">
        <f t="shared" si="17"/>
        <v>1167</v>
      </c>
      <c r="AF151" s="13">
        <f t="shared" si="18"/>
        <v>0</v>
      </c>
      <c r="AG151" s="13">
        <f t="shared" si="13"/>
        <v>179009</v>
      </c>
      <c r="AH151" s="13">
        <f t="shared" si="14"/>
        <v>6203</v>
      </c>
      <c r="AI151" s="13">
        <f t="shared" si="15"/>
        <v>1667212</v>
      </c>
    </row>
    <row r="152" spans="1:35" x14ac:dyDescent="0.25">
      <c r="A152" s="6" t="s">
        <v>173</v>
      </c>
      <c r="B152" s="2">
        <v>46</v>
      </c>
      <c r="C152" s="2" t="s">
        <v>166</v>
      </c>
      <c r="D152" s="3">
        <v>0</v>
      </c>
      <c r="E152" s="3">
        <v>1300</v>
      </c>
      <c r="F152" s="3">
        <v>0</v>
      </c>
      <c r="G152" s="3">
        <v>1311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1262</v>
      </c>
      <c r="S152" s="3">
        <v>362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647</v>
      </c>
      <c r="AD152" s="13">
        <f t="shared" si="16"/>
        <v>4235</v>
      </c>
      <c r="AE152" s="13">
        <f t="shared" si="17"/>
        <v>647</v>
      </c>
      <c r="AF152" s="13">
        <f t="shared" si="18"/>
        <v>0</v>
      </c>
      <c r="AG152" s="13">
        <f t="shared" si="13"/>
        <v>183244</v>
      </c>
      <c r="AH152" s="13">
        <f t="shared" si="14"/>
        <v>6850</v>
      </c>
      <c r="AI152" s="13">
        <f t="shared" si="15"/>
        <v>1667212</v>
      </c>
    </row>
    <row r="153" spans="1:35" x14ac:dyDescent="0.25">
      <c r="A153" s="6" t="s">
        <v>173</v>
      </c>
      <c r="B153" s="2">
        <v>47</v>
      </c>
      <c r="C153" s="2" t="s">
        <v>167</v>
      </c>
      <c r="D153" s="3">
        <v>0</v>
      </c>
      <c r="E153" s="3">
        <v>810</v>
      </c>
      <c r="F153" s="3">
        <v>0</v>
      </c>
      <c r="G153" s="3">
        <v>1014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540</v>
      </c>
      <c r="S153" s="3">
        <v>253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472</v>
      </c>
      <c r="AD153" s="13">
        <f t="shared" si="16"/>
        <v>2617</v>
      </c>
      <c r="AE153" s="13">
        <f t="shared" si="17"/>
        <v>472</v>
      </c>
      <c r="AF153" s="13">
        <f t="shared" si="18"/>
        <v>0</v>
      </c>
      <c r="AG153" s="13">
        <f t="shared" si="13"/>
        <v>185861</v>
      </c>
      <c r="AH153" s="13">
        <f t="shared" si="14"/>
        <v>7322</v>
      </c>
      <c r="AI153" s="13">
        <f t="shared" si="15"/>
        <v>1667212</v>
      </c>
    </row>
    <row r="154" spans="1:35" x14ac:dyDescent="0.25">
      <c r="A154" s="6" t="s">
        <v>173</v>
      </c>
      <c r="B154" s="2">
        <v>48</v>
      </c>
      <c r="C154" s="2" t="s">
        <v>168</v>
      </c>
      <c r="D154" s="3">
        <v>0</v>
      </c>
      <c r="E154" s="3">
        <v>654</v>
      </c>
      <c r="F154" s="3">
        <v>5544</v>
      </c>
      <c r="G154" s="3">
        <v>2205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11</v>
      </c>
      <c r="O154" s="3">
        <v>0</v>
      </c>
      <c r="P154" s="3">
        <v>0</v>
      </c>
      <c r="Q154" s="3">
        <v>0</v>
      </c>
      <c r="R154" s="3">
        <v>1229</v>
      </c>
      <c r="S154" s="3">
        <v>454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770</v>
      </c>
      <c r="AD154" s="13">
        <f t="shared" si="16"/>
        <v>4553</v>
      </c>
      <c r="AE154" s="13">
        <f t="shared" si="17"/>
        <v>770</v>
      </c>
      <c r="AF154" s="13">
        <f t="shared" si="18"/>
        <v>5544</v>
      </c>
      <c r="AG154" s="13">
        <f t="shared" si="13"/>
        <v>190414</v>
      </c>
      <c r="AH154" s="13">
        <f t="shared" si="14"/>
        <v>8092</v>
      </c>
      <c r="AI154" s="13">
        <f t="shared" si="15"/>
        <v>1672756</v>
      </c>
    </row>
    <row r="155" spans="1:35" x14ac:dyDescent="0.25">
      <c r="A155" s="6" t="s">
        <v>173</v>
      </c>
      <c r="B155" s="2">
        <v>49</v>
      </c>
      <c r="C155" s="2" t="s">
        <v>169</v>
      </c>
      <c r="D155" s="3">
        <v>0</v>
      </c>
      <c r="E155" s="3">
        <v>713</v>
      </c>
      <c r="F155" s="3">
        <v>75908</v>
      </c>
      <c r="G155" s="3">
        <v>1400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6</v>
      </c>
      <c r="O155" s="3">
        <v>0</v>
      </c>
      <c r="P155" s="3">
        <v>0</v>
      </c>
      <c r="Q155" s="3">
        <v>0</v>
      </c>
      <c r="R155" s="3">
        <v>835</v>
      </c>
      <c r="S155" s="3">
        <v>464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535</v>
      </c>
      <c r="AD155" s="13">
        <f t="shared" si="16"/>
        <v>3418</v>
      </c>
      <c r="AE155" s="13">
        <f t="shared" si="17"/>
        <v>535</v>
      </c>
      <c r="AF155" s="13">
        <f t="shared" si="18"/>
        <v>75908</v>
      </c>
      <c r="AG155" s="13">
        <f t="shared" si="13"/>
        <v>193832</v>
      </c>
      <c r="AH155" s="13">
        <f t="shared" si="14"/>
        <v>8627</v>
      </c>
      <c r="AI155" s="13">
        <f t="shared" si="15"/>
        <v>1748664</v>
      </c>
    </row>
    <row r="156" spans="1:35" x14ac:dyDescent="0.25">
      <c r="A156" s="6" t="s">
        <v>173</v>
      </c>
      <c r="B156" s="2">
        <v>50</v>
      </c>
      <c r="C156" s="2" t="s">
        <v>170</v>
      </c>
      <c r="D156" s="3">
        <v>0</v>
      </c>
      <c r="E156" s="3">
        <v>1053</v>
      </c>
      <c r="F156" s="3">
        <v>26652</v>
      </c>
      <c r="G156" s="3">
        <v>2099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6</v>
      </c>
      <c r="O156" s="3">
        <v>0</v>
      </c>
      <c r="P156" s="3">
        <v>0</v>
      </c>
      <c r="Q156" s="3">
        <v>0</v>
      </c>
      <c r="R156" s="3">
        <v>1632</v>
      </c>
      <c r="S156" s="3">
        <v>460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264</v>
      </c>
      <c r="AD156" s="13">
        <f t="shared" si="16"/>
        <v>5250</v>
      </c>
      <c r="AE156" s="13">
        <f t="shared" si="17"/>
        <v>264</v>
      </c>
      <c r="AF156" s="13">
        <f t="shared" si="18"/>
        <v>26652</v>
      </c>
      <c r="AG156" s="13">
        <f t="shared" si="13"/>
        <v>199082</v>
      </c>
      <c r="AH156" s="13">
        <f t="shared" si="14"/>
        <v>8891</v>
      </c>
      <c r="AI156" s="13">
        <f t="shared" si="15"/>
        <v>1775316</v>
      </c>
    </row>
    <row r="157" spans="1:35" x14ac:dyDescent="0.25">
      <c r="A157" s="6" t="s">
        <v>173</v>
      </c>
      <c r="B157" s="2">
        <v>51</v>
      </c>
      <c r="C157" s="2" t="s">
        <v>171</v>
      </c>
      <c r="D157" s="3">
        <v>0</v>
      </c>
      <c r="E157" s="3">
        <v>1625</v>
      </c>
      <c r="F157" s="3">
        <v>0</v>
      </c>
      <c r="G157" s="3">
        <v>1789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38</v>
      </c>
      <c r="O157" s="3">
        <v>0</v>
      </c>
      <c r="P157" s="3">
        <v>0</v>
      </c>
      <c r="Q157" s="3">
        <v>0</v>
      </c>
      <c r="R157" s="3">
        <v>1507</v>
      </c>
      <c r="S157" s="3">
        <v>927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100221</v>
      </c>
      <c r="AA157" s="3">
        <v>0</v>
      </c>
      <c r="AB157" s="3">
        <v>0</v>
      </c>
      <c r="AC157" s="3">
        <v>202</v>
      </c>
      <c r="AD157" s="13">
        <f t="shared" si="16"/>
        <v>5886</v>
      </c>
      <c r="AE157" s="13">
        <f t="shared" si="17"/>
        <v>202</v>
      </c>
      <c r="AF157" s="13">
        <f t="shared" si="18"/>
        <v>100221</v>
      </c>
      <c r="AG157" s="13">
        <f t="shared" si="13"/>
        <v>204968</v>
      </c>
      <c r="AH157" s="13">
        <f t="shared" si="14"/>
        <v>9093</v>
      </c>
      <c r="AI157" s="13">
        <f t="shared" si="15"/>
        <v>1875537</v>
      </c>
    </row>
    <row r="158" spans="1:35" x14ac:dyDescent="0.25">
      <c r="A158" s="6" t="s">
        <v>173</v>
      </c>
      <c r="B158" s="2">
        <v>52</v>
      </c>
      <c r="C158" s="2" t="s">
        <v>172</v>
      </c>
      <c r="D158" s="3">
        <v>0</v>
      </c>
      <c r="E158" s="3">
        <v>1608</v>
      </c>
      <c r="F158" s="3">
        <v>0</v>
      </c>
      <c r="G158" s="3">
        <v>1894</v>
      </c>
      <c r="H158" s="3">
        <v>0</v>
      </c>
      <c r="I158" s="3">
        <v>0</v>
      </c>
      <c r="J158" s="3">
        <v>0</v>
      </c>
      <c r="K158" s="3">
        <v>0</v>
      </c>
      <c r="L158" s="3">
        <v>25006</v>
      </c>
      <c r="M158" s="3">
        <v>0</v>
      </c>
      <c r="N158" s="3">
        <v>4</v>
      </c>
      <c r="O158" s="3">
        <v>0</v>
      </c>
      <c r="P158" s="3">
        <v>0</v>
      </c>
      <c r="Q158" s="3">
        <v>0</v>
      </c>
      <c r="R158" s="3">
        <v>1540</v>
      </c>
      <c r="S158" s="3">
        <v>845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31992</v>
      </c>
      <c r="AA158" s="3">
        <v>0</v>
      </c>
      <c r="AB158" s="3">
        <v>0</v>
      </c>
      <c r="AC158" s="3">
        <v>1134</v>
      </c>
      <c r="AD158" s="13">
        <f t="shared" si="16"/>
        <v>5891</v>
      </c>
      <c r="AE158" s="13">
        <f t="shared" si="17"/>
        <v>1134</v>
      </c>
      <c r="AF158" s="13">
        <f t="shared" si="18"/>
        <v>56998</v>
      </c>
      <c r="AG158" s="13">
        <f t="shared" si="13"/>
        <v>210859</v>
      </c>
      <c r="AH158" s="13">
        <f t="shared" si="14"/>
        <v>10227</v>
      </c>
      <c r="AI158" s="13">
        <f t="shared" si="15"/>
        <v>1932535</v>
      </c>
    </row>
    <row r="159" spans="1:35" s="20" customFormat="1" x14ac:dyDescent="0.25">
      <c r="A159" s="16" t="s">
        <v>1</v>
      </c>
      <c r="B159" s="21">
        <v>1</v>
      </c>
      <c r="C159" s="21" t="s">
        <v>4</v>
      </c>
      <c r="D159" s="18">
        <v>0</v>
      </c>
      <c r="E159" s="22">
        <v>0</v>
      </c>
      <c r="F159" s="18">
        <v>0</v>
      </c>
      <c r="G159" s="22">
        <v>0</v>
      </c>
      <c r="H159" s="18">
        <v>0</v>
      </c>
      <c r="I159" s="18">
        <v>0</v>
      </c>
      <c r="J159" s="18">
        <v>0</v>
      </c>
      <c r="K159" s="18">
        <v>0</v>
      </c>
      <c r="L159" s="18">
        <v>0</v>
      </c>
      <c r="M159" s="22">
        <v>0</v>
      </c>
      <c r="N159" s="23">
        <v>0</v>
      </c>
      <c r="O159" s="18">
        <v>0</v>
      </c>
      <c r="P159" s="18">
        <v>0</v>
      </c>
      <c r="Q159" s="18">
        <v>0</v>
      </c>
      <c r="R159" s="18">
        <v>559</v>
      </c>
      <c r="S159" s="18">
        <v>680</v>
      </c>
      <c r="T159" s="18">
        <v>0</v>
      </c>
      <c r="U159" s="18">
        <v>0</v>
      </c>
      <c r="V159" s="18">
        <v>0</v>
      </c>
      <c r="W159" s="18">
        <v>0</v>
      </c>
      <c r="X159" s="18">
        <v>0</v>
      </c>
      <c r="Y159" s="18">
        <v>0</v>
      </c>
      <c r="Z159" s="18">
        <v>33570</v>
      </c>
      <c r="AA159" s="18">
        <v>0</v>
      </c>
      <c r="AB159" s="18">
        <v>0</v>
      </c>
      <c r="AC159" s="18">
        <v>478</v>
      </c>
      <c r="AD159" s="19">
        <f t="shared" si="16"/>
        <v>1239</v>
      </c>
      <c r="AE159" s="19">
        <f t="shared" si="17"/>
        <v>478</v>
      </c>
      <c r="AF159" s="19">
        <f t="shared" si="18"/>
        <v>33570</v>
      </c>
      <c r="AG159" s="19">
        <f>AD159</f>
        <v>1239</v>
      </c>
      <c r="AH159" s="19">
        <f>AE159</f>
        <v>478</v>
      </c>
      <c r="AI159" s="19">
        <f>AF159</f>
        <v>33570</v>
      </c>
    </row>
    <row r="160" spans="1:35" x14ac:dyDescent="0.25">
      <c r="A160" s="6" t="s">
        <v>1</v>
      </c>
      <c r="B160" s="7">
        <v>2</v>
      </c>
      <c r="C160" s="7" t="s">
        <v>5</v>
      </c>
      <c r="D160" s="3">
        <v>0</v>
      </c>
      <c r="E160" s="9">
        <v>0</v>
      </c>
      <c r="F160" s="3">
        <v>0</v>
      </c>
      <c r="G160" s="9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9">
        <v>0</v>
      </c>
      <c r="N160" s="5">
        <v>0</v>
      </c>
      <c r="O160" s="3">
        <v>0</v>
      </c>
      <c r="P160" s="3">
        <v>0</v>
      </c>
      <c r="Q160" s="3">
        <v>0</v>
      </c>
      <c r="R160" s="3">
        <v>935</v>
      </c>
      <c r="S160" s="3">
        <v>1110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13">
        <f t="shared" si="16"/>
        <v>2045</v>
      </c>
      <c r="AE160" s="13">
        <f t="shared" si="17"/>
        <v>0</v>
      </c>
      <c r="AF160" s="13">
        <f t="shared" si="18"/>
        <v>0</v>
      </c>
      <c r="AG160" s="13">
        <f>AG159+AD160</f>
        <v>3284</v>
      </c>
      <c r="AH160" s="13">
        <f>AH159+AE160</f>
        <v>478</v>
      </c>
      <c r="AI160" s="13">
        <f>AI159+AF160</f>
        <v>33570</v>
      </c>
    </row>
    <row r="161" spans="1:35" x14ac:dyDescent="0.25">
      <c r="A161" s="6" t="s">
        <v>1</v>
      </c>
      <c r="B161" s="7">
        <v>3</v>
      </c>
      <c r="C161" s="7" t="s">
        <v>6</v>
      </c>
      <c r="D161" s="3">
        <v>0</v>
      </c>
      <c r="E161" s="9">
        <v>0</v>
      </c>
      <c r="F161" s="3">
        <v>0</v>
      </c>
      <c r="G161" s="9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9">
        <v>0</v>
      </c>
      <c r="N161" s="5">
        <v>0</v>
      </c>
      <c r="O161" s="3">
        <v>0</v>
      </c>
      <c r="P161" s="3">
        <v>0</v>
      </c>
      <c r="Q161" s="3">
        <v>0</v>
      </c>
      <c r="R161" s="3">
        <v>1869</v>
      </c>
      <c r="S161" s="3">
        <v>994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36877</v>
      </c>
      <c r="AA161" s="3">
        <v>0</v>
      </c>
      <c r="AB161" s="3">
        <v>0</v>
      </c>
      <c r="AC161" s="3">
        <v>495</v>
      </c>
      <c r="AD161" s="13">
        <f t="shared" si="16"/>
        <v>2863</v>
      </c>
      <c r="AE161" s="13">
        <f t="shared" si="17"/>
        <v>495</v>
      </c>
      <c r="AF161" s="13">
        <f t="shared" si="18"/>
        <v>36877</v>
      </c>
      <c r="AG161" s="13">
        <f t="shared" ref="AG161:AG210" si="19">AG160+AD161</f>
        <v>6147</v>
      </c>
      <c r="AH161" s="13">
        <f t="shared" ref="AH161:AH210" si="20">AH160+AE161</f>
        <v>973</v>
      </c>
      <c r="AI161" s="13">
        <f t="shared" ref="AI161:AI210" si="21">AI160+AF161</f>
        <v>70447</v>
      </c>
    </row>
    <row r="162" spans="1:35" x14ac:dyDescent="0.25">
      <c r="A162" s="6" t="s">
        <v>1</v>
      </c>
      <c r="B162" s="7">
        <v>4</v>
      </c>
      <c r="C162" s="7" t="s">
        <v>7</v>
      </c>
      <c r="D162" s="3">
        <v>0</v>
      </c>
      <c r="E162" s="9">
        <v>0</v>
      </c>
      <c r="F162" s="3">
        <v>0</v>
      </c>
      <c r="G162" s="9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9">
        <v>0</v>
      </c>
      <c r="N162" s="5">
        <v>33</v>
      </c>
      <c r="O162" s="3">
        <v>0</v>
      </c>
      <c r="P162" s="3">
        <v>0</v>
      </c>
      <c r="Q162" s="3">
        <v>0</v>
      </c>
      <c r="R162" s="3">
        <v>1568</v>
      </c>
      <c r="S162" s="3">
        <v>1763</v>
      </c>
      <c r="T162" s="3">
        <v>0</v>
      </c>
      <c r="U162" s="3">
        <v>0</v>
      </c>
      <c r="V162" s="3">
        <v>0</v>
      </c>
      <c r="W162" s="3">
        <v>382</v>
      </c>
      <c r="X162" s="3">
        <v>0</v>
      </c>
      <c r="Y162" s="3">
        <v>0</v>
      </c>
      <c r="Z162" s="3">
        <v>47723</v>
      </c>
      <c r="AA162" s="3">
        <v>44677</v>
      </c>
      <c r="AB162" s="3">
        <v>0</v>
      </c>
      <c r="AC162" s="3">
        <v>493</v>
      </c>
      <c r="AD162" s="13">
        <f t="shared" si="16"/>
        <v>3364</v>
      </c>
      <c r="AE162" s="13">
        <f t="shared" si="17"/>
        <v>493</v>
      </c>
      <c r="AF162" s="13">
        <f t="shared" si="18"/>
        <v>92782</v>
      </c>
      <c r="AG162" s="13">
        <f t="shared" si="19"/>
        <v>9511</v>
      </c>
      <c r="AH162" s="13">
        <f t="shared" si="20"/>
        <v>1466</v>
      </c>
      <c r="AI162" s="13">
        <f t="shared" si="21"/>
        <v>163229</v>
      </c>
    </row>
    <row r="163" spans="1:35" x14ac:dyDescent="0.25">
      <c r="A163" s="6" t="s">
        <v>1</v>
      </c>
      <c r="B163" s="7">
        <v>5</v>
      </c>
      <c r="C163" s="7" t="s">
        <v>8</v>
      </c>
      <c r="D163" s="3">
        <v>0</v>
      </c>
      <c r="E163" s="9">
        <v>0</v>
      </c>
      <c r="F163" s="3">
        <v>0</v>
      </c>
      <c r="G163" s="9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9">
        <v>0</v>
      </c>
      <c r="N163" s="5">
        <v>0</v>
      </c>
      <c r="O163" s="3">
        <v>0</v>
      </c>
      <c r="P163" s="3">
        <v>0</v>
      </c>
      <c r="Q163" s="3">
        <v>0</v>
      </c>
      <c r="R163" s="3">
        <v>1170</v>
      </c>
      <c r="S163" s="3">
        <v>1079</v>
      </c>
      <c r="T163" s="3">
        <v>0</v>
      </c>
      <c r="U163" s="3">
        <v>0</v>
      </c>
      <c r="V163" s="3">
        <v>0</v>
      </c>
      <c r="W163" s="3">
        <v>106</v>
      </c>
      <c r="X163" s="3">
        <v>0</v>
      </c>
      <c r="Y163" s="3">
        <v>0</v>
      </c>
      <c r="Z163" s="3">
        <v>24500</v>
      </c>
      <c r="AA163" s="3">
        <v>6038</v>
      </c>
      <c r="AB163" s="3">
        <v>0</v>
      </c>
      <c r="AC163" s="3">
        <v>141</v>
      </c>
      <c r="AD163" s="13">
        <f t="shared" si="16"/>
        <v>2249</v>
      </c>
      <c r="AE163" s="13">
        <f t="shared" si="17"/>
        <v>141</v>
      </c>
      <c r="AF163" s="13">
        <f t="shared" si="18"/>
        <v>30644</v>
      </c>
      <c r="AG163" s="13">
        <f t="shared" si="19"/>
        <v>11760</v>
      </c>
      <c r="AH163" s="13">
        <f t="shared" si="20"/>
        <v>1607</v>
      </c>
      <c r="AI163" s="13">
        <f t="shared" si="21"/>
        <v>193873</v>
      </c>
    </row>
    <row r="164" spans="1:35" x14ac:dyDescent="0.25">
      <c r="A164" s="6" t="s">
        <v>1</v>
      </c>
      <c r="B164" s="7">
        <v>6</v>
      </c>
      <c r="C164" s="7" t="s">
        <v>9</v>
      </c>
      <c r="D164" s="3">
        <v>0</v>
      </c>
      <c r="E164" s="9">
        <v>0</v>
      </c>
      <c r="F164" s="3">
        <v>0</v>
      </c>
      <c r="G164" s="9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9">
        <v>0</v>
      </c>
      <c r="N164" s="5">
        <v>0</v>
      </c>
      <c r="O164" s="3">
        <v>0</v>
      </c>
      <c r="P164" s="3">
        <v>0</v>
      </c>
      <c r="Q164" s="3">
        <v>0</v>
      </c>
      <c r="R164" s="3">
        <v>762</v>
      </c>
      <c r="S164" s="3">
        <v>580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54980</v>
      </c>
      <c r="AA164" s="3">
        <v>21280</v>
      </c>
      <c r="AB164" s="3">
        <v>0</v>
      </c>
      <c r="AC164" s="3">
        <v>0</v>
      </c>
      <c r="AD164" s="13">
        <f t="shared" si="16"/>
        <v>1342</v>
      </c>
      <c r="AE164" s="13">
        <f t="shared" si="17"/>
        <v>0</v>
      </c>
      <c r="AF164" s="13">
        <f t="shared" si="18"/>
        <v>76260</v>
      </c>
      <c r="AG164" s="13">
        <f t="shared" si="19"/>
        <v>13102</v>
      </c>
      <c r="AH164" s="13">
        <f t="shared" si="20"/>
        <v>1607</v>
      </c>
      <c r="AI164" s="13">
        <f t="shared" si="21"/>
        <v>270133</v>
      </c>
    </row>
    <row r="165" spans="1:35" x14ac:dyDescent="0.25">
      <c r="A165" s="6" t="s">
        <v>1</v>
      </c>
      <c r="B165" s="7">
        <v>7</v>
      </c>
      <c r="C165" s="7" t="s">
        <v>10</v>
      </c>
      <c r="D165" s="3">
        <v>0</v>
      </c>
      <c r="E165" s="9">
        <v>0</v>
      </c>
      <c r="F165" s="3">
        <v>0</v>
      </c>
      <c r="G165" s="9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9">
        <v>0</v>
      </c>
      <c r="N165" s="5">
        <v>0</v>
      </c>
      <c r="O165" s="3">
        <v>0</v>
      </c>
      <c r="P165" s="3">
        <v>0</v>
      </c>
      <c r="Q165" s="3">
        <v>0</v>
      </c>
      <c r="R165" s="3">
        <v>699</v>
      </c>
      <c r="S165" s="3">
        <v>655</v>
      </c>
      <c r="T165" s="3">
        <v>0</v>
      </c>
      <c r="U165" s="3">
        <v>0</v>
      </c>
      <c r="V165" s="3">
        <v>0</v>
      </c>
      <c r="W165" s="3">
        <v>356</v>
      </c>
      <c r="X165" s="3">
        <v>0</v>
      </c>
      <c r="Y165" s="3">
        <v>0</v>
      </c>
      <c r="Z165" s="3">
        <v>28442</v>
      </c>
      <c r="AA165" s="3">
        <v>0</v>
      </c>
      <c r="AB165" s="3">
        <v>0</v>
      </c>
      <c r="AC165" s="3">
        <v>0</v>
      </c>
      <c r="AD165" s="13">
        <f t="shared" si="16"/>
        <v>1354</v>
      </c>
      <c r="AE165" s="13">
        <f t="shared" si="17"/>
        <v>0</v>
      </c>
      <c r="AF165" s="13">
        <f t="shared" si="18"/>
        <v>28798</v>
      </c>
      <c r="AG165" s="13">
        <f t="shared" si="19"/>
        <v>14456</v>
      </c>
      <c r="AH165" s="13">
        <f t="shared" si="20"/>
        <v>1607</v>
      </c>
      <c r="AI165" s="13">
        <f t="shared" si="21"/>
        <v>298931</v>
      </c>
    </row>
    <row r="166" spans="1:35" x14ac:dyDescent="0.25">
      <c r="A166" s="6" t="s">
        <v>1</v>
      </c>
      <c r="B166" s="7">
        <v>8</v>
      </c>
      <c r="C166" s="7" t="s">
        <v>11</v>
      </c>
      <c r="D166" s="3">
        <v>0</v>
      </c>
      <c r="E166" s="9">
        <v>0</v>
      </c>
      <c r="F166" s="3">
        <v>0</v>
      </c>
      <c r="G166" s="9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9">
        <v>0</v>
      </c>
      <c r="N166" s="5">
        <v>0</v>
      </c>
      <c r="O166" s="3">
        <v>0</v>
      </c>
      <c r="P166" s="3">
        <v>0</v>
      </c>
      <c r="Q166" s="3">
        <v>0</v>
      </c>
      <c r="R166" s="3">
        <v>240</v>
      </c>
      <c r="S166" s="3">
        <v>1314</v>
      </c>
      <c r="T166" s="3">
        <v>0</v>
      </c>
      <c r="U166" s="3">
        <v>0</v>
      </c>
      <c r="V166" s="3">
        <v>0</v>
      </c>
      <c r="W166" s="3">
        <v>273</v>
      </c>
      <c r="X166" s="3">
        <v>0</v>
      </c>
      <c r="Y166" s="3">
        <v>0</v>
      </c>
      <c r="Z166" s="3">
        <v>13039</v>
      </c>
      <c r="AA166" s="3">
        <v>54560</v>
      </c>
      <c r="AB166" s="3">
        <v>0</v>
      </c>
      <c r="AC166" s="3">
        <v>0</v>
      </c>
      <c r="AD166" s="13">
        <f t="shared" si="16"/>
        <v>1554</v>
      </c>
      <c r="AE166" s="13">
        <f t="shared" si="17"/>
        <v>0</v>
      </c>
      <c r="AF166" s="13">
        <f t="shared" si="18"/>
        <v>67872</v>
      </c>
      <c r="AG166" s="13">
        <f t="shared" si="19"/>
        <v>16010</v>
      </c>
      <c r="AH166" s="13">
        <f t="shared" si="20"/>
        <v>1607</v>
      </c>
      <c r="AI166" s="13">
        <f t="shared" si="21"/>
        <v>366803</v>
      </c>
    </row>
    <row r="167" spans="1:35" x14ac:dyDescent="0.25">
      <c r="A167" s="6" t="s">
        <v>1</v>
      </c>
      <c r="B167" s="7">
        <v>9</v>
      </c>
      <c r="C167" s="7" t="s">
        <v>12</v>
      </c>
      <c r="D167" s="3">
        <v>0</v>
      </c>
      <c r="E167" s="9">
        <v>0</v>
      </c>
      <c r="F167" s="3">
        <v>0</v>
      </c>
      <c r="G167" s="9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9">
        <v>0</v>
      </c>
      <c r="N167" s="5">
        <v>0</v>
      </c>
      <c r="O167" s="3">
        <v>0</v>
      </c>
      <c r="P167" s="3">
        <v>0</v>
      </c>
      <c r="Q167" s="3">
        <v>0</v>
      </c>
      <c r="R167" s="3">
        <v>420</v>
      </c>
      <c r="S167" s="3">
        <v>1153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6225</v>
      </c>
      <c r="AA167" s="3">
        <v>0</v>
      </c>
      <c r="AB167" s="3">
        <v>0</v>
      </c>
      <c r="AC167" s="3">
        <v>0</v>
      </c>
      <c r="AD167" s="13">
        <f t="shared" si="16"/>
        <v>1573</v>
      </c>
      <c r="AE167" s="13">
        <f t="shared" si="17"/>
        <v>0</v>
      </c>
      <c r="AF167" s="13">
        <f t="shared" si="18"/>
        <v>6225</v>
      </c>
      <c r="AG167" s="13">
        <f t="shared" si="19"/>
        <v>17583</v>
      </c>
      <c r="AH167" s="13">
        <f t="shared" si="20"/>
        <v>1607</v>
      </c>
      <c r="AI167" s="13">
        <f t="shared" si="21"/>
        <v>373028</v>
      </c>
    </row>
    <row r="168" spans="1:35" x14ac:dyDescent="0.25">
      <c r="A168" s="6" t="s">
        <v>1</v>
      </c>
      <c r="B168" s="7">
        <v>10</v>
      </c>
      <c r="C168" s="7" t="s">
        <v>13</v>
      </c>
      <c r="D168" s="3">
        <v>0</v>
      </c>
      <c r="E168" s="9">
        <v>0</v>
      </c>
      <c r="F168" s="3">
        <v>0</v>
      </c>
      <c r="G168" s="9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9">
        <v>0</v>
      </c>
      <c r="N168" s="5">
        <v>0</v>
      </c>
      <c r="O168" s="3">
        <v>0</v>
      </c>
      <c r="P168" s="3">
        <v>0</v>
      </c>
      <c r="Q168" s="3">
        <v>0</v>
      </c>
      <c r="R168" s="3">
        <v>976</v>
      </c>
      <c r="S168" s="3">
        <v>1118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25915</v>
      </c>
      <c r="AA168" s="3">
        <v>0</v>
      </c>
      <c r="AB168" s="3">
        <v>0</v>
      </c>
      <c r="AC168" s="3">
        <v>0</v>
      </c>
      <c r="AD168" s="13">
        <f t="shared" si="16"/>
        <v>2094</v>
      </c>
      <c r="AE168" s="13">
        <f t="shared" si="17"/>
        <v>0</v>
      </c>
      <c r="AF168" s="13">
        <f t="shared" si="18"/>
        <v>25915</v>
      </c>
      <c r="AG168" s="13">
        <f t="shared" si="19"/>
        <v>19677</v>
      </c>
      <c r="AH168" s="13">
        <f t="shared" si="20"/>
        <v>1607</v>
      </c>
      <c r="AI168" s="13">
        <f t="shared" si="21"/>
        <v>398943</v>
      </c>
    </row>
    <row r="169" spans="1:35" x14ac:dyDescent="0.25">
      <c r="A169" s="6" t="s">
        <v>1</v>
      </c>
      <c r="B169" s="7">
        <v>11</v>
      </c>
      <c r="C169" s="7" t="s">
        <v>14</v>
      </c>
      <c r="D169" s="3">
        <v>0</v>
      </c>
      <c r="E169" s="9">
        <v>0</v>
      </c>
      <c r="F169" s="3">
        <v>0</v>
      </c>
      <c r="G169" s="9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9">
        <v>0</v>
      </c>
      <c r="N169" s="5">
        <v>23</v>
      </c>
      <c r="O169" s="3">
        <v>0</v>
      </c>
      <c r="P169" s="3">
        <v>0</v>
      </c>
      <c r="Q169" s="3">
        <v>0</v>
      </c>
      <c r="R169" s="3">
        <v>908</v>
      </c>
      <c r="S169" s="3">
        <v>1027</v>
      </c>
      <c r="T169" s="3">
        <v>0</v>
      </c>
      <c r="U169" s="3">
        <v>0</v>
      </c>
      <c r="V169" s="3">
        <v>0</v>
      </c>
      <c r="W169" s="3">
        <v>362</v>
      </c>
      <c r="X169" s="3">
        <v>0</v>
      </c>
      <c r="Y169" s="3">
        <v>0</v>
      </c>
      <c r="Z169" s="3">
        <v>23651</v>
      </c>
      <c r="AA169" s="3">
        <v>0</v>
      </c>
      <c r="AB169" s="3">
        <v>0</v>
      </c>
      <c r="AC169" s="3">
        <v>0</v>
      </c>
      <c r="AD169" s="13">
        <f t="shared" si="16"/>
        <v>1958</v>
      </c>
      <c r="AE169" s="13">
        <f t="shared" si="17"/>
        <v>0</v>
      </c>
      <c r="AF169" s="13">
        <f t="shared" si="18"/>
        <v>24013</v>
      </c>
      <c r="AG169" s="13">
        <f t="shared" si="19"/>
        <v>21635</v>
      </c>
      <c r="AH169" s="13">
        <f t="shared" si="20"/>
        <v>1607</v>
      </c>
      <c r="AI169" s="13">
        <f t="shared" si="21"/>
        <v>422956</v>
      </c>
    </row>
    <row r="170" spans="1:35" x14ac:dyDescent="0.25">
      <c r="A170" s="6" t="s">
        <v>1</v>
      </c>
      <c r="B170" s="7">
        <v>12</v>
      </c>
      <c r="C170" s="7" t="s">
        <v>15</v>
      </c>
      <c r="D170" s="3">
        <v>0</v>
      </c>
      <c r="E170" s="9">
        <v>0</v>
      </c>
      <c r="F170" s="3">
        <v>0</v>
      </c>
      <c r="G170" s="9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9">
        <v>0</v>
      </c>
      <c r="N170" s="5">
        <v>4</v>
      </c>
      <c r="O170" s="3">
        <v>0</v>
      </c>
      <c r="P170" s="3">
        <v>0</v>
      </c>
      <c r="Q170" s="3">
        <v>0</v>
      </c>
      <c r="R170" s="3">
        <v>996</v>
      </c>
      <c r="S170" s="3">
        <v>879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13">
        <f t="shared" si="16"/>
        <v>1879</v>
      </c>
      <c r="AE170" s="13">
        <f t="shared" si="17"/>
        <v>0</v>
      </c>
      <c r="AF170" s="13">
        <f t="shared" si="18"/>
        <v>0</v>
      </c>
      <c r="AG170" s="13">
        <f t="shared" si="19"/>
        <v>23514</v>
      </c>
      <c r="AH170" s="13">
        <f t="shared" si="20"/>
        <v>1607</v>
      </c>
      <c r="AI170" s="13">
        <f t="shared" si="21"/>
        <v>422956</v>
      </c>
    </row>
    <row r="171" spans="1:35" x14ac:dyDescent="0.25">
      <c r="A171" s="6" t="s">
        <v>1</v>
      </c>
      <c r="B171" s="7">
        <v>13</v>
      </c>
      <c r="C171" s="7" t="s">
        <v>16</v>
      </c>
      <c r="D171" s="3">
        <v>0</v>
      </c>
      <c r="E171" s="9">
        <v>0</v>
      </c>
      <c r="F171" s="3">
        <v>0</v>
      </c>
      <c r="G171" s="9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9">
        <v>0</v>
      </c>
      <c r="N171" s="5">
        <v>0</v>
      </c>
      <c r="O171" s="3">
        <v>0</v>
      </c>
      <c r="P171" s="3">
        <v>0</v>
      </c>
      <c r="Q171" s="3">
        <v>0</v>
      </c>
      <c r="R171" s="3">
        <v>1638</v>
      </c>
      <c r="S171" s="3">
        <v>1025</v>
      </c>
      <c r="T171" s="3">
        <v>0</v>
      </c>
      <c r="U171" s="3">
        <v>0</v>
      </c>
      <c r="V171" s="3">
        <v>0</v>
      </c>
      <c r="W171" s="3">
        <v>308</v>
      </c>
      <c r="X171" s="3">
        <v>0</v>
      </c>
      <c r="Y171" s="3">
        <v>0</v>
      </c>
      <c r="Z171" s="3">
        <v>23638</v>
      </c>
      <c r="AA171" s="3">
        <v>0</v>
      </c>
      <c r="AB171" s="3">
        <v>0</v>
      </c>
      <c r="AC171" s="3">
        <v>0</v>
      </c>
      <c r="AD171" s="13">
        <f t="shared" si="16"/>
        <v>2663</v>
      </c>
      <c r="AE171" s="13">
        <f t="shared" si="17"/>
        <v>0</v>
      </c>
      <c r="AF171" s="13">
        <f t="shared" si="18"/>
        <v>23946</v>
      </c>
      <c r="AG171" s="13">
        <f t="shared" si="19"/>
        <v>26177</v>
      </c>
      <c r="AH171" s="13">
        <f t="shared" si="20"/>
        <v>1607</v>
      </c>
      <c r="AI171" s="13">
        <f t="shared" si="21"/>
        <v>446902</v>
      </c>
    </row>
    <row r="172" spans="1:35" x14ac:dyDescent="0.25">
      <c r="A172" s="6" t="s">
        <v>1</v>
      </c>
      <c r="B172" s="7">
        <v>14</v>
      </c>
      <c r="C172" s="7" t="s">
        <v>17</v>
      </c>
      <c r="D172" s="3">
        <v>0</v>
      </c>
      <c r="E172" s="9">
        <v>0</v>
      </c>
      <c r="F172" s="3">
        <v>0</v>
      </c>
      <c r="G172" s="9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9">
        <v>0</v>
      </c>
      <c r="N172" s="5">
        <v>0</v>
      </c>
      <c r="O172" s="3">
        <v>0</v>
      </c>
      <c r="P172" s="3">
        <v>0</v>
      </c>
      <c r="Q172" s="3">
        <v>0</v>
      </c>
      <c r="R172" s="3">
        <v>803</v>
      </c>
      <c r="S172" s="3">
        <v>665</v>
      </c>
      <c r="T172" s="3">
        <v>0</v>
      </c>
      <c r="U172" s="3">
        <v>0</v>
      </c>
      <c r="V172" s="3">
        <v>0</v>
      </c>
      <c r="W172" s="3">
        <v>225</v>
      </c>
      <c r="X172" s="3">
        <v>0</v>
      </c>
      <c r="Y172" s="3">
        <v>0</v>
      </c>
      <c r="Z172" s="3">
        <v>31863</v>
      </c>
      <c r="AA172" s="3">
        <v>0</v>
      </c>
      <c r="AB172" s="3">
        <v>0</v>
      </c>
      <c r="AC172" s="3">
        <v>0</v>
      </c>
      <c r="AD172" s="13">
        <f t="shared" si="16"/>
        <v>1468</v>
      </c>
      <c r="AE172" s="13">
        <f t="shared" si="17"/>
        <v>0</v>
      </c>
      <c r="AF172" s="13">
        <f t="shared" si="18"/>
        <v>32088</v>
      </c>
      <c r="AG172" s="13">
        <f t="shared" si="19"/>
        <v>27645</v>
      </c>
      <c r="AH172" s="13">
        <f t="shared" si="20"/>
        <v>1607</v>
      </c>
      <c r="AI172" s="13">
        <f t="shared" si="21"/>
        <v>478990</v>
      </c>
    </row>
    <row r="173" spans="1:35" x14ac:dyDescent="0.25">
      <c r="A173" s="6" t="s">
        <v>1</v>
      </c>
      <c r="B173" s="7">
        <v>15</v>
      </c>
      <c r="C173" s="7" t="s">
        <v>18</v>
      </c>
      <c r="D173" s="3">
        <v>0</v>
      </c>
      <c r="E173" s="9">
        <v>0</v>
      </c>
      <c r="F173" s="3">
        <v>0</v>
      </c>
      <c r="G173" s="9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9">
        <v>0</v>
      </c>
      <c r="N173" s="5">
        <v>0</v>
      </c>
      <c r="O173" s="3">
        <v>0</v>
      </c>
      <c r="P173" s="3">
        <v>0</v>
      </c>
      <c r="Q173" s="3">
        <v>0</v>
      </c>
      <c r="R173" s="3">
        <v>802</v>
      </c>
      <c r="S173" s="3">
        <v>1247</v>
      </c>
      <c r="T173" s="3">
        <v>0</v>
      </c>
      <c r="U173" s="3">
        <v>0</v>
      </c>
      <c r="V173" s="3">
        <v>0</v>
      </c>
      <c r="W173" s="3">
        <v>287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13">
        <f t="shared" si="16"/>
        <v>2049</v>
      </c>
      <c r="AE173" s="13">
        <f t="shared" si="17"/>
        <v>0</v>
      </c>
      <c r="AF173" s="13">
        <f t="shared" si="18"/>
        <v>287</v>
      </c>
      <c r="AG173" s="13">
        <f t="shared" si="19"/>
        <v>29694</v>
      </c>
      <c r="AH173" s="13">
        <f t="shared" si="20"/>
        <v>1607</v>
      </c>
      <c r="AI173" s="13">
        <f t="shared" si="21"/>
        <v>479277</v>
      </c>
    </row>
    <row r="174" spans="1:35" x14ac:dyDescent="0.25">
      <c r="A174" s="6" t="s">
        <v>1</v>
      </c>
      <c r="B174" s="7">
        <v>16</v>
      </c>
      <c r="C174" s="7" t="s">
        <v>19</v>
      </c>
      <c r="D174" s="3">
        <v>0</v>
      </c>
      <c r="E174" s="9">
        <v>0</v>
      </c>
      <c r="F174" s="3">
        <v>0</v>
      </c>
      <c r="G174" s="9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9">
        <v>0</v>
      </c>
      <c r="N174" s="5">
        <v>0</v>
      </c>
      <c r="O174" s="3">
        <v>0</v>
      </c>
      <c r="P174" s="3">
        <v>0</v>
      </c>
      <c r="Q174" s="3">
        <v>0</v>
      </c>
      <c r="R174" s="3">
        <v>1088</v>
      </c>
      <c r="S174" s="3">
        <v>1666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15</v>
      </c>
      <c r="AD174" s="13">
        <f t="shared" si="16"/>
        <v>2754</v>
      </c>
      <c r="AE174" s="13">
        <f t="shared" si="17"/>
        <v>15</v>
      </c>
      <c r="AF174" s="13">
        <f t="shared" si="18"/>
        <v>0</v>
      </c>
      <c r="AG174" s="13">
        <f t="shared" si="19"/>
        <v>32448</v>
      </c>
      <c r="AH174" s="13">
        <f t="shared" si="20"/>
        <v>1622</v>
      </c>
      <c r="AI174" s="13">
        <f t="shared" si="21"/>
        <v>479277</v>
      </c>
    </row>
    <row r="175" spans="1:35" x14ac:dyDescent="0.25">
      <c r="A175" s="6" t="s">
        <v>1</v>
      </c>
      <c r="B175" s="7">
        <v>17</v>
      </c>
      <c r="C175" s="7" t="s">
        <v>20</v>
      </c>
      <c r="D175" s="3">
        <v>0</v>
      </c>
      <c r="E175" s="9">
        <v>0</v>
      </c>
      <c r="F175" s="3">
        <v>0</v>
      </c>
      <c r="G175" s="9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9">
        <v>0</v>
      </c>
      <c r="N175" s="5">
        <v>0</v>
      </c>
      <c r="O175" s="3">
        <v>0</v>
      </c>
      <c r="P175" s="3">
        <v>0</v>
      </c>
      <c r="Q175" s="3">
        <v>0</v>
      </c>
      <c r="R175" s="3">
        <v>1793</v>
      </c>
      <c r="S175" s="3">
        <v>1409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7717</v>
      </c>
      <c r="AA175" s="3">
        <v>0</v>
      </c>
      <c r="AB175" s="3">
        <v>0</v>
      </c>
      <c r="AC175" s="3">
        <v>0</v>
      </c>
      <c r="AD175" s="13">
        <f t="shared" si="16"/>
        <v>3202</v>
      </c>
      <c r="AE175" s="13">
        <f t="shared" si="17"/>
        <v>0</v>
      </c>
      <c r="AF175" s="13">
        <f t="shared" si="18"/>
        <v>7717</v>
      </c>
      <c r="AG175" s="13">
        <f t="shared" si="19"/>
        <v>35650</v>
      </c>
      <c r="AH175" s="13">
        <f t="shared" si="20"/>
        <v>1622</v>
      </c>
      <c r="AI175" s="13">
        <f t="shared" si="21"/>
        <v>486994</v>
      </c>
    </row>
    <row r="176" spans="1:35" x14ac:dyDescent="0.25">
      <c r="A176" s="6" t="s">
        <v>1</v>
      </c>
      <c r="B176" s="7">
        <v>18</v>
      </c>
      <c r="C176" s="7" t="s">
        <v>21</v>
      </c>
      <c r="D176" s="3">
        <v>0</v>
      </c>
      <c r="E176" s="9">
        <v>0</v>
      </c>
      <c r="F176" s="3">
        <v>0</v>
      </c>
      <c r="G176" s="9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9">
        <v>0</v>
      </c>
      <c r="N176" s="5">
        <v>0</v>
      </c>
      <c r="O176" s="3">
        <v>0</v>
      </c>
      <c r="P176" s="3">
        <v>0</v>
      </c>
      <c r="Q176" s="3">
        <v>0</v>
      </c>
      <c r="R176" s="3">
        <v>1183</v>
      </c>
      <c r="S176" s="3">
        <v>1386</v>
      </c>
      <c r="T176" s="3">
        <v>0</v>
      </c>
      <c r="U176" s="3">
        <v>0</v>
      </c>
      <c r="V176" s="3">
        <v>0</v>
      </c>
      <c r="W176" s="3">
        <v>512</v>
      </c>
      <c r="X176" s="3">
        <v>0</v>
      </c>
      <c r="Y176" s="3">
        <v>0</v>
      </c>
      <c r="Z176" s="3">
        <v>32083</v>
      </c>
      <c r="AA176" s="3">
        <v>0</v>
      </c>
      <c r="AB176" s="3">
        <v>0</v>
      </c>
      <c r="AC176" s="3">
        <v>0</v>
      </c>
      <c r="AD176" s="13">
        <f t="shared" si="16"/>
        <v>2569</v>
      </c>
      <c r="AE176" s="13">
        <f t="shared" si="17"/>
        <v>0</v>
      </c>
      <c r="AF176" s="13">
        <f t="shared" si="18"/>
        <v>32595</v>
      </c>
      <c r="AG176" s="13">
        <f t="shared" si="19"/>
        <v>38219</v>
      </c>
      <c r="AH176" s="13">
        <f t="shared" si="20"/>
        <v>1622</v>
      </c>
      <c r="AI176" s="13">
        <f t="shared" si="21"/>
        <v>519589</v>
      </c>
    </row>
    <row r="177" spans="1:35" x14ac:dyDescent="0.25">
      <c r="A177" s="6" t="s">
        <v>1</v>
      </c>
      <c r="B177" s="7">
        <v>19</v>
      </c>
      <c r="C177" s="7" t="s">
        <v>22</v>
      </c>
      <c r="D177" s="3">
        <v>0</v>
      </c>
      <c r="E177" s="9">
        <v>0</v>
      </c>
      <c r="F177" s="3">
        <v>0</v>
      </c>
      <c r="G177" s="9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9">
        <v>0</v>
      </c>
      <c r="N177" s="5">
        <v>0</v>
      </c>
      <c r="O177" s="3">
        <v>0</v>
      </c>
      <c r="P177" s="3">
        <v>0</v>
      </c>
      <c r="Q177" s="3">
        <v>0</v>
      </c>
      <c r="R177" s="3">
        <v>1562</v>
      </c>
      <c r="S177" s="3">
        <v>1211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20385</v>
      </c>
      <c r="AA177" s="3">
        <v>0</v>
      </c>
      <c r="AB177" s="3">
        <v>0</v>
      </c>
      <c r="AC177" s="3">
        <v>0</v>
      </c>
      <c r="AD177" s="13">
        <f t="shared" si="16"/>
        <v>2773</v>
      </c>
      <c r="AE177" s="13">
        <f t="shared" si="17"/>
        <v>0</v>
      </c>
      <c r="AF177" s="13">
        <f t="shared" si="18"/>
        <v>20385</v>
      </c>
      <c r="AG177" s="13">
        <f t="shared" si="19"/>
        <v>40992</v>
      </c>
      <c r="AH177" s="13">
        <f t="shared" si="20"/>
        <v>1622</v>
      </c>
      <c r="AI177" s="13">
        <f t="shared" si="21"/>
        <v>539974</v>
      </c>
    </row>
    <row r="178" spans="1:35" x14ac:dyDescent="0.25">
      <c r="A178" s="6" t="s">
        <v>1</v>
      </c>
      <c r="B178" s="7">
        <v>20</v>
      </c>
      <c r="C178" s="7" t="s">
        <v>23</v>
      </c>
      <c r="D178" s="3">
        <v>0</v>
      </c>
      <c r="E178" s="9">
        <v>0</v>
      </c>
      <c r="F178" s="3">
        <v>0</v>
      </c>
      <c r="G178" s="9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9">
        <v>0</v>
      </c>
      <c r="N178" s="5">
        <v>3</v>
      </c>
      <c r="O178" s="3">
        <v>0</v>
      </c>
      <c r="P178" s="3">
        <v>0</v>
      </c>
      <c r="Q178" s="3">
        <v>0</v>
      </c>
      <c r="R178" s="3">
        <v>1290</v>
      </c>
      <c r="S178" s="3">
        <v>1454</v>
      </c>
      <c r="T178" s="3">
        <v>0</v>
      </c>
      <c r="U178" s="3">
        <v>0</v>
      </c>
      <c r="V178" s="3">
        <v>0</v>
      </c>
      <c r="W178" s="3">
        <v>512</v>
      </c>
      <c r="X178" s="3">
        <v>0</v>
      </c>
      <c r="Y178" s="3">
        <v>0</v>
      </c>
      <c r="Z178" s="3">
        <v>52478</v>
      </c>
      <c r="AA178" s="3">
        <v>0</v>
      </c>
      <c r="AB178" s="3">
        <v>0</v>
      </c>
      <c r="AC178" s="3">
        <v>0</v>
      </c>
      <c r="AD178" s="13">
        <f t="shared" si="16"/>
        <v>2747</v>
      </c>
      <c r="AE178" s="13">
        <f t="shared" si="17"/>
        <v>0</v>
      </c>
      <c r="AF178" s="13">
        <f t="shared" si="18"/>
        <v>52990</v>
      </c>
      <c r="AG178" s="13">
        <f t="shared" si="19"/>
        <v>43739</v>
      </c>
      <c r="AH178" s="13">
        <f t="shared" si="20"/>
        <v>1622</v>
      </c>
      <c r="AI178" s="13">
        <f t="shared" si="21"/>
        <v>592964</v>
      </c>
    </row>
    <row r="179" spans="1:35" x14ac:dyDescent="0.25">
      <c r="A179" s="6" t="s">
        <v>1</v>
      </c>
      <c r="B179" s="7">
        <v>21</v>
      </c>
      <c r="C179" s="7" t="s">
        <v>24</v>
      </c>
      <c r="D179" s="3">
        <v>0</v>
      </c>
      <c r="E179" s="9">
        <v>0</v>
      </c>
      <c r="F179" s="3">
        <v>0</v>
      </c>
      <c r="G179" s="9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9">
        <v>0</v>
      </c>
      <c r="N179" s="5">
        <v>0</v>
      </c>
      <c r="O179" s="3">
        <v>0</v>
      </c>
      <c r="P179" s="3">
        <v>239</v>
      </c>
      <c r="Q179" s="3">
        <v>0</v>
      </c>
      <c r="R179" s="3">
        <v>2331</v>
      </c>
      <c r="S179" s="3">
        <v>1722</v>
      </c>
      <c r="T179" s="3">
        <v>0</v>
      </c>
      <c r="U179" s="3">
        <v>0</v>
      </c>
      <c r="V179" s="3">
        <v>0</v>
      </c>
      <c r="W179" s="3">
        <v>204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13">
        <f t="shared" si="16"/>
        <v>4053</v>
      </c>
      <c r="AE179" s="13">
        <f t="shared" si="17"/>
        <v>0</v>
      </c>
      <c r="AF179" s="13">
        <f t="shared" si="18"/>
        <v>443</v>
      </c>
      <c r="AG179" s="13">
        <f t="shared" si="19"/>
        <v>47792</v>
      </c>
      <c r="AH179" s="13">
        <f t="shared" si="20"/>
        <v>1622</v>
      </c>
      <c r="AI179" s="13">
        <f t="shared" si="21"/>
        <v>593407</v>
      </c>
    </row>
    <row r="180" spans="1:35" x14ac:dyDescent="0.25">
      <c r="A180" s="6" t="s">
        <v>1</v>
      </c>
      <c r="B180" s="7">
        <v>22</v>
      </c>
      <c r="C180" s="7" t="s">
        <v>25</v>
      </c>
      <c r="D180" s="3">
        <v>0</v>
      </c>
      <c r="E180" s="9">
        <v>0</v>
      </c>
      <c r="F180" s="3">
        <v>0</v>
      </c>
      <c r="G180" s="9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9">
        <v>0</v>
      </c>
      <c r="N180" s="5">
        <v>0</v>
      </c>
      <c r="O180" s="3">
        <v>0</v>
      </c>
      <c r="P180" s="3">
        <v>379</v>
      </c>
      <c r="Q180" s="3">
        <v>0</v>
      </c>
      <c r="R180" s="3">
        <v>2427</v>
      </c>
      <c r="S180" s="3">
        <v>1863</v>
      </c>
      <c r="T180" s="3">
        <v>0</v>
      </c>
      <c r="U180" s="3">
        <v>0</v>
      </c>
      <c r="V180" s="3">
        <v>0</v>
      </c>
      <c r="W180" s="3">
        <v>305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2144</v>
      </c>
      <c r="AD180" s="13">
        <f t="shared" si="16"/>
        <v>4290</v>
      </c>
      <c r="AE180" s="13">
        <f t="shared" si="17"/>
        <v>2144</v>
      </c>
      <c r="AF180" s="13">
        <f t="shared" si="18"/>
        <v>684</v>
      </c>
      <c r="AG180" s="13">
        <f t="shared" si="19"/>
        <v>52082</v>
      </c>
      <c r="AH180" s="13">
        <f t="shared" si="20"/>
        <v>3766</v>
      </c>
      <c r="AI180" s="13">
        <f t="shared" si="21"/>
        <v>594091</v>
      </c>
    </row>
    <row r="181" spans="1:35" x14ac:dyDescent="0.25">
      <c r="A181" s="6" t="s">
        <v>1</v>
      </c>
      <c r="B181" s="7">
        <v>23</v>
      </c>
      <c r="C181" s="7" t="s">
        <v>26</v>
      </c>
      <c r="D181" s="3">
        <v>0</v>
      </c>
      <c r="E181" s="9">
        <v>0</v>
      </c>
      <c r="F181" s="3">
        <v>0</v>
      </c>
      <c r="G181" s="9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9">
        <v>0</v>
      </c>
      <c r="N181" s="5">
        <v>0</v>
      </c>
      <c r="O181" s="3">
        <v>0</v>
      </c>
      <c r="P181" s="3">
        <v>300</v>
      </c>
      <c r="Q181" s="3">
        <v>0</v>
      </c>
      <c r="R181" s="3">
        <v>1542</v>
      </c>
      <c r="S181" s="3">
        <v>1234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2942</v>
      </c>
      <c r="AD181" s="13">
        <f t="shared" si="16"/>
        <v>2776</v>
      </c>
      <c r="AE181" s="13">
        <f t="shared" si="17"/>
        <v>2942</v>
      </c>
      <c r="AF181" s="13">
        <f t="shared" si="18"/>
        <v>300</v>
      </c>
      <c r="AG181" s="13">
        <f t="shared" si="19"/>
        <v>54858</v>
      </c>
      <c r="AH181" s="13">
        <f t="shared" si="20"/>
        <v>6708</v>
      </c>
      <c r="AI181" s="13">
        <f t="shared" si="21"/>
        <v>594391</v>
      </c>
    </row>
    <row r="182" spans="1:35" x14ac:dyDescent="0.25">
      <c r="A182" s="6" t="s">
        <v>1</v>
      </c>
      <c r="B182" s="7">
        <v>24</v>
      </c>
      <c r="C182" s="7" t="s">
        <v>27</v>
      </c>
      <c r="D182" s="3">
        <v>0</v>
      </c>
      <c r="E182" s="9">
        <v>0</v>
      </c>
      <c r="F182" s="3">
        <v>0</v>
      </c>
      <c r="G182" s="9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9">
        <v>0</v>
      </c>
      <c r="N182" s="5">
        <v>3</v>
      </c>
      <c r="O182" s="3">
        <v>0</v>
      </c>
      <c r="P182" s="3">
        <v>0</v>
      </c>
      <c r="Q182" s="3">
        <v>0</v>
      </c>
      <c r="R182" s="3">
        <v>1107</v>
      </c>
      <c r="S182" s="3">
        <v>1237</v>
      </c>
      <c r="T182" s="3">
        <v>0</v>
      </c>
      <c r="U182" s="3">
        <v>0</v>
      </c>
      <c r="V182" s="3">
        <v>0</v>
      </c>
      <c r="W182" s="3">
        <v>572</v>
      </c>
      <c r="X182" s="3">
        <v>0</v>
      </c>
      <c r="Y182" s="3">
        <v>0</v>
      </c>
      <c r="Z182" s="3">
        <v>0</v>
      </c>
      <c r="AA182" s="3">
        <v>52775</v>
      </c>
      <c r="AB182" s="3">
        <v>0</v>
      </c>
      <c r="AC182" s="3">
        <v>6908</v>
      </c>
      <c r="AD182" s="13">
        <f t="shared" si="16"/>
        <v>2347</v>
      </c>
      <c r="AE182" s="13">
        <f t="shared" si="17"/>
        <v>6908</v>
      </c>
      <c r="AF182" s="13">
        <f t="shared" si="18"/>
        <v>53347</v>
      </c>
      <c r="AG182" s="13">
        <f t="shared" si="19"/>
        <v>57205</v>
      </c>
      <c r="AH182" s="13">
        <f t="shared" si="20"/>
        <v>13616</v>
      </c>
      <c r="AI182" s="13">
        <f t="shared" si="21"/>
        <v>647738</v>
      </c>
    </row>
    <row r="183" spans="1:35" x14ac:dyDescent="0.25">
      <c r="A183" s="6" t="s">
        <v>1</v>
      </c>
      <c r="B183" s="7">
        <v>25</v>
      </c>
      <c r="C183" s="7" t="s">
        <v>28</v>
      </c>
      <c r="D183" s="3">
        <v>0</v>
      </c>
      <c r="E183" s="9">
        <v>0</v>
      </c>
      <c r="F183" s="3">
        <v>0</v>
      </c>
      <c r="G183" s="9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9">
        <v>0</v>
      </c>
      <c r="N183" s="5">
        <v>0</v>
      </c>
      <c r="O183" s="3">
        <v>0</v>
      </c>
      <c r="P183" s="3">
        <v>91</v>
      </c>
      <c r="Q183" s="3">
        <v>0</v>
      </c>
      <c r="R183" s="3">
        <v>977</v>
      </c>
      <c r="S183" s="3">
        <v>980</v>
      </c>
      <c r="T183" s="3">
        <v>0</v>
      </c>
      <c r="U183" s="3">
        <v>0</v>
      </c>
      <c r="V183" s="3">
        <v>0</v>
      </c>
      <c r="W183" s="3">
        <v>275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4487</v>
      </c>
      <c r="AD183" s="13">
        <f t="shared" si="16"/>
        <v>1957</v>
      </c>
      <c r="AE183" s="13">
        <f t="shared" si="17"/>
        <v>4487</v>
      </c>
      <c r="AF183" s="13">
        <f t="shared" si="18"/>
        <v>366</v>
      </c>
      <c r="AG183" s="13">
        <f t="shared" si="19"/>
        <v>59162</v>
      </c>
      <c r="AH183" s="13">
        <f t="shared" si="20"/>
        <v>18103</v>
      </c>
      <c r="AI183" s="13">
        <f t="shared" si="21"/>
        <v>648104</v>
      </c>
    </row>
    <row r="184" spans="1:35" x14ac:dyDescent="0.25">
      <c r="A184" s="6" t="s">
        <v>1</v>
      </c>
      <c r="B184" s="7">
        <v>26</v>
      </c>
      <c r="C184" s="7" t="s">
        <v>29</v>
      </c>
      <c r="D184" s="3">
        <v>0</v>
      </c>
      <c r="E184" s="9">
        <v>0</v>
      </c>
      <c r="F184" s="3">
        <v>0</v>
      </c>
      <c r="G184" s="9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9">
        <v>0</v>
      </c>
      <c r="N184" s="5">
        <v>12</v>
      </c>
      <c r="O184" s="3">
        <v>0</v>
      </c>
      <c r="P184" s="3">
        <v>0</v>
      </c>
      <c r="Q184" s="3">
        <v>0</v>
      </c>
      <c r="R184" s="3">
        <v>1027</v>
      </c>
      <c r="S184" s="3">
        <v>1415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5197</v>
      </c>
      <c r="AD184" s="13">
        <f t="shared" si="16"/>
        <v>2454</v>
      </c>
      <c r="AE184" s="13">
        <f t="shared" si="17"/>
        <v>5197</v>
      </c>
      <c r="AF184" s="13">
        <f t="shared" si="18"/>
        <v>0</v>
      </c>
      <c r="AG184" s="13">
        <f t="shared" si="19"/>
        <v>61616</v>
      </c>
      <c r="AH184" s="13">
        <f t="shared" si="20"/>
        <v>23300</v>
      </c>
      <c r="AI184" s="13">
        <f t="shared" si="21"/>
        <v>648104</v>
      </c>
    </row>
    <row r="185" spans="1:35" x14ac:dyDescent="0.25">
      <c r="A185" s="6" t="s">
        <v>1</v>
      </c>
      <c r="B185" s="7">
        <v>27</v>
      </c>
      <c r="C185" s="7" t="s">
        <v>30</v>
      </c>
      <c r="D185" s="3">
        <v>0</v>
      </c>
      <c r="E185" s="9">
        <v>0</v>
      </c>
      <c r="F185" s="3">
        <v>0</v>
      </c>
      <c r="G185" s="9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9">
        <v>0</v>
      </c>
      <c r="N185" s="5">
        <v>8</v>
      </c>
      <c r="O185" s="3">
        <v>0</v>
      </c>
      <c r="P185" s="3">
        <v>0</v>
      </c>
      <c r="Q185" s="3">
        <v>0</v>
      </c>
      <c r="R185" s="3">
        <v>1295</v>
      </c>
      <c r="S185" s="3">
        <v>1246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4085</v>
      </c>
      <c r="AD185" s="13">
        <f t="shared" si="16"/>
        <v>2549</v>
      </c>
      <c r="AE185" s="13">
        <f t="shared" si="17"/>
        <v>4085</v>
      </c>
      <c r="AF185" s="13">
        <f t="shared" si="18"/>
        <v>0</v>
      </c>
      <c r="AG185" s="13">
        <f t="shared" si="19"/>
        <v>64165</v>
      </c>
      <c r="AH185" s="13">
        <f t="shared" si="20"/>
        <v>27385</v>
      </c>
      <c r="AI185" s="13">
        <f t="shared" si="21"/>
        <v>648104</v>
      </c>
    </row>
    <row r="186" spans="1:35" x14ac:dyDescent="0.25">
      <c r="A186" s="6" t="s">
        <v>1</v>
      </c>
      <c r="B186" s="7">
        <v>28</v>
      </c>
      <c r="C186" s="7" t="s">
        <v>31</v>
      </c>
      <c r="D186" s="3">
        <v>0</v>
      </c>
      <c r="E186" s="9">
        <v>0</v>
      </c>
      <c r="F186" s="3">
        <v>0</v>
      </c>
      <c r="G186" s="9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9">
        <v>0</v>
      </c>
      <c r="N186" s="5">
        <v>0</v>
      </c>
      <c r="O186" s="3">
        <v>0</v>
      </c>
      <c r="P186" s="3">
        <v>0</v>
      </c>
      <c r="Q186" s="3">
        <v>0</v>
      </c>
      <c r="R186" s="3">
        <v>1441</v>
      </c>
      <c r="S186" s="3">
        <v>1277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4472</v>
      </c>
      <c r="AD186" s="13">
        <f t="shared" si="16"/>
        <v>2718</v>
      </c>
      <c r="AE186" s="13">
        <f t="shared" si="17"/>
        <v>4472</v>
      </c>
      <c r="AF186" s="13">
        <f t="shared" si="18"/>
        <v>0</v>
      </c>
      <c r="AG186" s="13">
        <f t="shared" si="19"/>
        <v>66883</v>
      </c>
      <c r="AH186" s="13">
        <f t="shared" si="20"/>
        <v>31857</v>
      </c>
      <c r="AI186" s="13">
        <f t="shared" si="21"/>
        <v>648104</v>
      </c>
    </row>
    <row r="187" spans="1:35" x14ac:dyDescent="0.25">
      <c r="A187" s="6" t="s">
        <v>1</v>
      </c>
      <c r="B187" s="7">
        <v>29</v>
      </c>
      <c r="C187" s="7" t="s">
        <v>32</v>
      </c>
      <c r="D187" s="3">
        <v>0</v>
      </c>
      <c r="E187" s="9">
        <v>0</v>
      </c>
      <c r="F187" s="3">
        <v>0</v>
      </c>
      <c r="G187" s="9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9">
        <v>0</v>
      </c>
      <c r="N187" s="5">
        <v>0</v>
      </c>
      <c r="O187" s="3">
        <v>0</v>
      </c>
      <c r="P187" s="3">
        <v>0</v>
      </c>
      <c r="Q187" s="3">
        <v>0</v>
      </c>
      <c r="R187" s="3">
        <v>1297</v>
      </c>
      <c r="S187" s="3">
        <v>839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5447</v>
      </c>
      <c r="AD187" s="13">
        <f t="shared" si="16"/>
        <v>2136</v>
      </c>
      <c r="AE187" s="13">
        <f t="shared" si="17"/>
        <v>5447</v>
      </c>
      <c r="AF187" s="13">
        <f t="shared" si="18"/>
        <v>0</v>
      </c>
      <c r="AG187" s="13">
        <f t="shared" si="19"/>
        <v>69019</v>
      </c>
      <c r="AH187" s="13">
        <f t="shared" si="20"/>
        <v>37304</v>
      </c>
      <c r="AI187" s="13">
        <f t="shared" si="21"/>
        <v>648104</v>
      </c>
    </row>
    <row r="188" spans="1:35" x14ac:dyDescent="0.25">
      <c r="A188" s="6" t="s">
        <v>1</v>
      </c>
      <c r="B188" s="7">
        <v>30</v>
      </c>
      <c r="C188" s="7" t="s">
        <v>33</v>
      </c>
      <c r="D188" s="3">
        <v>0</v>
      </c>
      <c r="E188" s="9">
        <v>0</v>
      </c>
      <c r="F188" s="3">
        <v>0</v>
      </c>
      <c r="G188" s="9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9">
        <v>0</v>
      </c>
      <c r="N188" s="5">
        <v>0</v>
      </c>
      <c r="O188" s="3">
        <v>0</v>
      </c>
      <c r="P188" s="3">
        <v>136</v>
      </c>
      <c r="Q188" s="3">
        <v>0</v>
      </c>
      <c r="R188" s="3">
        <v>2868</v>
      </c>
      <c r="S188" s="3">
        <v>2067</v>
      </c>
      <c r="T188" s="3">
        <v>0</v>
      </c>
      <c r="U188" s="3">
        <v>0</v>
      </c>
      <c r="V188" s="3">
        <v>0</v>
      </c>
      <c r="W188" s="3">
        <v>41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7638</v>
      </c>
      <c r="AD188" s="13">
        <f t="shared" si="16"/>
        <v>4935</v>
      </c>
      <c r="AE188" s="13">
        <f t="shared" si="17"/>
        <v>7638</v>
      </c>
      <c r="AF188" s="13">
        <f t="shared" si="18"/>
        <v>177</v>
      </c>
      <c r="AG188" s="13">
        <f t="shared" si="19"/>
        <v>73954</v>
      </c>
      <c r="AH188" s="13">
        <f t="shared" si="20"/>
        <v>44942</v>
      </c>
      <c r="AI188" s="13">
        <f t="shared" si="21"/>
        <v>648281</v>
      </c>
    </row>
    <row r="189" spans="1:35" x14ac:dyDescent="0.25">
      <c r="A189" s="6" t="s">
        <v>1</v>
      </c>
      <c r="B189" s="7">
        <v>31</v>
      </c>
      <c r="C189" s="7" t="s">
        <v>34</v>
      </c>
      <c r="D189" s="3">
        <v>0</v>
      </c>
      <c r="E189" s="9">
        <v>0</v>
      </c>
      <c r="F189" s="3">
        <v>0</v>
      </c>
      <c r="G189" s="9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9">
        <v>0</v>
      </c>
      <c r="N189" s="5">
        <v>0</v>
      </c>
      <c r="O189" s="3">
        <v>0</v>
      </c>
      <c r="P189" s="3">
        <v>0</v>
      </c>
      <c r="Q189" s="3">
        <v>0</v>
      </c>
      <c r="R189" s="3">
        <v>1939</v>
      </c>
      <c r="S189" s="3">
        <v>994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6933</v>
      </c>
      <c r="AD189" s="13">
        <f t="shared" si="16"/>
        <v>2933</v>
      </c>
      <c r="AE189" s="13">
        <f t="shared" si="17"/>
        <v>6933</v>
      </c>
      <c r="AF189" s="13">
        <f t="shared" si="18"/>
        <v>0</v>
      </c>
      <c r="AG189" s="13">
        <f t="shared" si="19"/>
        <v>76887</v>
      </c>
      <c r="AH189" s="13">
        <f t="shared" si="20"/>
        <v>51875</v>
      </c>
      <c r="AI189" s="13">
        <f t="shared" si="21"/>
        <v>648281</v>
      </c>
    </row>
    <row r="190" spans="1:35" x14ac:dyDescent="0.25">
      <c r="A190" s="6" t="s">
        <v>1</v>
      </c>
      <c r="B190" s="7">
        <v>32</v>
      </c>
      <c r="C190" s="7" t="s">
        <v>35</v>
      </c>
      <c r="D190" s="3">
        <v>0</v>
      </c>
      <c r="E190" s="9">
        <v>0</v>
      </c>
      <c r="F190" s="3">
        <v>0</v>
      </c>
      <c r="G190" s="9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9">
        <v>0</v>
      </c>
      <c r="N190" s="5">
        <v>0</v>
      </c>
      <c r="O190" s="3">
        <v>0</v>
      </c>
      <c r="P190" s="3">
        <v>0</v>
      </c>
      <c r="Q190" s="3">
        <v>0</v>
      </c>
      <c r="R190" s="3">
        <v>2755</v>
      </c>
      <c r="S190" s="3">
        <v>893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8694</v>
      </c>
      <c r="AD190" s="13">
        <f t="shared" si="16"/>
        <v>3648</v>
      </c>
      <c r="AE190" s="13">
        <f t="shared" si="17"/>
        <v>8694</v>
      </c>
      <c r="AF190" s="13">
        <f t="shared" si="18"/>
        <v>0</v>
      </c>
      <c r="AG190" s="13">
        <f t="shared" si="19"/>
        <v>80535</v>
      </c>
      <c r="AH190" s="13">
        <f t="shared" si="20"/>
        <v>60569</v>
      </c>
      <c r="AI190" s="13">
        <f t="shared" si="21"/>
        <v>648281</v>
      </c>
    </row>
    <row r="191" spans="1:35" x14ac:dyDescent="0.25">
      <c r="A191" s="6" t="s">
        <v>1</v>
      </c>
      <c r="B191" s="7">
        <v>33</v>
      </c>
      <c r="C191" s="7" t="s">
        <v>36</v>
      </c>
      <c r="D191" s="3">
        <v>0</v>
      </c>
      <c r="E191" s="9">
        <v>0</v>
      </c>
      <c r="F191" s="3">
        <v>0</v>
      </c>
      <c r="G191" s="9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9">
        <v>0</v>
      </c>
      <c r="N191" s="5">
        <v>307</v>
      </c>
      <c r="O191" s="3">
        <v>0</v>
      </c>
      <c r="P191" s="3">
        <v>0</v>
      </c>
      <c r="Q191" s="3">
        <v>0</v>
      </c>
      <c r="R191" s="3">
        <v>1013</v>
      </c>
      <c r="S191" s="3">
        <v>711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5583</v>
      </c>
      <c r="AD191" s="13">
        <f t="shared" si="16"/>
        <v>2031</v>
      </c>
      <c r="AE191" s="13">
        <f t="shared" si="17"/>
        <v>5583</v>
      </c>
      <c r="AF191" s="13">
        <f t="shared" si="18"/>
        <v>0</v>
      </c>
      <c r="AG191" s="13">
        <f t="shared" si="19"/>
        <v>82566</v>
      </c>
      <c r="AH191" s="13">
        <f t="shared" si="20"/>
        <v>66152</v>
      </c>
      <c r="AI191" s="13">
        <f t="shared" si="21"/>
        <v>648281</v>
      </c>
    </row>
    <row r="192" spans="1:35" x14ac:dyDescent="0.25">
      <c r="A192" s="6" t="s">
        <v>1</v>
      </c>
      <c r="B192" s="7">
        <v>34</v>
      </c>
      <c r="C192" s="7" t="s">
        <v>37</v>
      </c>
      <c r="D192" s="3">
        <v>0</v>
      </c>
      <c r="E192" s="9">
        <v>0</v>
      </c>
      <c r="F192" s="3">
        <v>0</v>
      </c>
      <c r="G192" s="9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9">
        <v>0</v>
      </c>
      <c r="N192" s="5">
        <v>0</v>
      </c>
      <c r="O192" s="3">
        <v>0</v>
      </c>
      <c r="P192" s="3">
        <v>0</v>
      </c>
      <c r="Q192" s="3">
        <v>0</v>
      </c>
      <c r="R192" s="3">
        <v>1852</v>
      </c>
      <c r="S192" s="3">
        <v>418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2075</v>
      </c>
      <c r="AD192" s="13">
        <f t="shared" si="16"/>
        <v>2270</v>
      </c>
      <c r="AE192" s="13">
        <f t="shared" si="17"/>
        <v>2075</v>
      </c>
      <c r="AF192" s="13">
        <f t="shared" si="18"/>
        <v>0</v>
      </c>
      <c r="AG192" s="13">
        <f t="shared" si="19"/>
        <v>84836</v>
      </c>
      <c r="AH192" s="13">
        <f t="shared" si="20"/>
        <v>68227</v>
      </c>
      <c r="AI192" s="13">
        <f t="shared" si="21"/>
        <v>648281</v>
      </c>
    </row>
    <row r="193" spans="1:35" x14ac:dyDescent="0.25">
      <c r="A193" s="6" t="s">
        <v>1</v>
      </c>
      <c r="B193" s="7">
        <v>35</v>
      </c>
      <c r="C193" s="7" t="s">
        <v>38</v>
      </c>
      <c r="D193" s="3">
        <v>0</v>
      </c>
      <c r="E193" s="9">
        <v>0</v>
      </c>
      <c r="F193" s="3">
        <v>0</v>
      </c>
      <c r="G193" s="9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9">
        <v>0</v>
      </c>
      <c r="N193" s="5">
        <v>0</v>
      </c>
      <c r="O193" s="3">
        <v>0</v>
      </c>
      <c r="P193" s="3">
        <v>0</v>
      </c>
      <c r="Q193" s="3">
        <v>0</v>
      </c>
      <c r="R193" s="3">
        <v>545</v>
      </c>
      <c r="S193" s="3">
        <v>202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1876</v>
      </c>
      <c r="AD193" s="13">
        <f t="shared" si="16"/>
        <v>747</v>
      </c>
      <c r="AE193" s="13">
        <f t="shared" si="17"/>
        <v>1876</v>
      </c>
      <c r="AF193" s="13">
        <f t="shared" si="18"/>
        <v>0</v>
      </c>
      <c r="AG193" s="13">
        <f t="shared" si="19"/>
        <v>85583</v>
      </c>
      <c r="AH193" s="13">
        <f t="shared" si="20"/>
        <v>70103</v>
      </c>
      <c r="AI193" s="13">
        <f t="shared" si="21"/>
        <v>648281</v>
      </c>
    </row>
    <row r="194" spans="1:35" x14ac:dyDescent="0.25">
      <c r="A194" s="6" t="s">
        <v>1</v>
      </c>
      <c r="B194" s="7">
        <v>36</v>
      </c>
      <c r="C194" s="7" t="s">
        <v>39</v>
      </c>
      <c r="D194" s="3">
        <v>0</v>
      </c>
      <c r="E194" s="9">
        <v>0</v>
      </c>
      <c r="F194" s="3">
        <v>0</v>
      </c>
      <c r="G194" s="9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9">
        <v>0</v>
      </c>
      <c r="N194" s="5">
        <v>0</v>
      </c>
      <c r="O194" s="3">
        <v>0</v>
      </c>
      <c r="P194" s="3">
        <v>0</v>
      </c>
      <c r="Q194" s="3">
        <v>0</v>
      </c>
      <c r="R194" s="3">
        <v>1010</v>
      </c>
      <c r="S194" s="3">
        <v>787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4999</v>
      </c>
      <c r="AD194" s="13">
        <f t="shared" ref="AD194:AD257" si="22">E194+S194+N194+G194+R194</f>
        <v>1797</v>
      </c>
      <c r="AE194" s="13">
        <f t="shared" ref="AE194:AE257" si="23">AC194</f>
        <v>4999</v>
      </c>
      <c r="AF194" s="13">
        <f t="shared" ref="AF194:AF257" si="24">SUM(D194:AC194)-AD194-AE194</f>
        <v>0</v>
      </c>
      <c r="AG194" s="13">
        <f t="shared" si="19"/>
        <v>87380</v>
      </c>
      <c r="AH194" s="13">
        <f t="shared" si="20"/>
        <v>75102</v>
      </c>
      <c r="AI194" s="13">
        <f t="shared" si="21"/>
        <v>648281</v>
      </c>
    </row>
    <row r="195" spans="1:35" x14ac:dyDescent="0.25">
      <c r="A195" s="6" t="s">
        <v>1</v>
      </c>
      <c r="B195" s="7">
        <v>37</v>
      </c>
      <c r="C195" s="7" t="s">
        <v>40</v>
      </c>
      <c r="D195" s="3">
        <v>0</v>
      </c>
      <c r="E195" s="9">
        <v>0</v>
      </c>
      <c r="F195" s="3">
        <v>0</v>
      </c>
      <c r="G195" s="9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9">
        <v>0</v>
      </c>
      <c r="N195" s="5">
        <v>5</v>
      </c>
      <c r="O195" s="3">
        <v>0</v>
      </c>
      <c r="P195" s="3">
        <v>0</v>
      </c>
      <c r="Q195" s="3">
        <v>0</v>
      </c>
      <c r="R195" s="3">
        <v>1123</v>
      </c>
      <c r="S195" s="3">
        <v>1189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8844</v>
      </c>
      <c r="AD195" s="13">
        <f t="shared" si="22"/>
        <v>2317</v>
      </c>
      <c r="AE195" s="13">
        <f t="shared" si="23"/>
        <v>8844</v>
      </c>
      <c r="AF195" s="13">
        <f t="shared" si="24"/>
        <v>0</v>
      </c>
      <c r="AG195" s="13">
        <f t="shared" si="19"/>
        <v>89697</v>
      </c>
      <c r="AH195" s="13">
        <f t="shared" si="20"/>
        <v>83946</v>
      </c>
      <c r="AI195" s="13">
        <f t="shared" si="21"/>
        <v>648281</v>
      </c>
    </row>
    <row r="196" spans="1:35" x14ac:dyDescent="0.25">
      <c r="A196" s="6" t="s">
        <v>1</v>
      </c>
      <c r="B196" s="7">
        <v>38</v>
      </c>
      <c r="C196" s="7" t="s">
        <v>41</v>
      </c>
      <c r="D196" s="3">
        <v>0</v>
      </c>
      <c r="E196" s="9">
        <v>0</v>
      </c>
      <c r="F196" s="3">
        <v>0</v>
      </c>
      <c r="G196" s="9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9">
        <v>0</v>
      </c>
      <c r="N196" s="5">
        <v>0</v>
      </c>
      <c r="O196" s="3">
        <v>0</v>
      </c>
      <c r="P196" s="3">
        <v>0</v>
      </c>
      <c r="Q196" s="3">
        <v>0</v>
      </c>
      <c r="R196" s="3">
        <v>1620</v>
      </c>
      <c r="S196" s="3">
        <v>1251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5528</v>
      </c>
      <c r="AD196" s="13">
        <f t="shared" si="22"/>
        <v>2871</v>
      </c>
      <c r="AE196" s="13">
        <f t="shared" si="23"/>
        <v>5528</v>
      </c>
      <c r="AF196" s="13">
        <f t="shared" si="24"/>
        <v>0</v>
      </c>
      <c r="AG196" s="13">
        <f t="shared" si="19"/>
        <v>92568</v>
      </c>
      <c r="AH196" s="13">
        <f t="shared" si="20"/>
        <v>89474</v>
      </c>
      <c r="AI196" s="13">
        <f t="shared" si="21"/>
        <v>648281</v>
      </c>
    </row>
    <row r="197" spans="1:35" x14ac:dyDescent="0.25">
      <c r="A197" s="6" t="s">
        <v>1</v>
      </c>
      <c r="B197" s="7">
        <v>39</v>
      </c>
      <c r="C197" s="7" t="s">
        <v>42</v>
      </c>
      <c r="D197" s="3">
        <v>0</v>
      </c>
      <c r="E197" s="9">
        <v>0</v>
      </c>
      <c r="F197" s="3">
        <v>0</v>
      </c>
      <c r="G197" s="9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9">
        <v>0</v>
      </c>
      <c r="N197" s="5">
        <v>654</v>
      </c>
      <c r="O197" s="3">
        <v>0</v>
      </c>
      <c r="P197" s="3">
        <v>0</v>
      </c>
      <c r="Q197" s="3">
        <v>0</v>
      </c>
      <c r="R197" s="3">
        <v>599</v>
      </c>
      <c r="S197" s="3">
        <v>1452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72</v>
      </c>
      <c r="AC197" s="3">
        <v>9454</v>
      </c>
      <c r="AD197" s="13">
        <f t="shared" si="22"/>
        <v>2705</v>
      </c>
      <c r="AE197" s="13">
        <f t="shared" si="23"/>
        <v>9454</v>
      </c>
      <c r="AF197" s="13">
        <f t="shared" si="24"/>
        <v>72</v>
      </c>
      <c r="AG197" s="13">
        <f t="shared" si="19"/>
        <v>95273</v>
      </c>
      <c r="AH197" s="13">
        <f t="shared" si="20"/>
        <v>98928</v>
      </c>
      <c r="AI197" s="13">
        <f t="shared" si="21"/>
        <v>648353</v>
      </c>
    </row>
    <row r="198" spans="1:35" x14ac:dyDescent="0.25">
      <c r="A198" s="6" t="s">
        <v>1</v>
      </c>
      <c r="B198" s="7">
        <v>40</v>
      </c>
      <c r="C198" s="7" t="s">
        <v>43</v>
      </c>
      <c r="D198" s="3">
        <v>0</v>
      </c>
      <c r="E198" s="9">
        <v>0</v>
      </c>
      <c r="F198" s="3">
        <v>0</v>
      </c>
      <c r="G198" s="9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9">
        <v>0</v>
      </c>
      <c r="N198" s="5">
        <v>36</v>
      </c>
      <c r="O198" s="3">
        <v>0</v>
      </c>
      <c r="P198" s="3">
        <v>0</v>
      </c>
      <c r="Q198" s="3">
        <v>0</v>
      </c>
      <c r="R198" s="3">
        <v>666</v>
      </c>
      <c r="S198" s="3">
        <v>873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7269</v>
      </c>
      <c r="AD198" s="13">
        <f t="shared" si="22"/>
        <v>1575</v>
      </c>
      <c r="AE198" s="13">
        <f t="shared" si="23"/>
        <v>7269</v>
      </c>
      <c r="AF198" s="13">
        <f t="shared" si="24"/>
        <v>0</v>
      </c>
      <c r="AG198" s="13">
        <f t="shared" si="19"/>
        <v>96848</v>
      </c>
      <c r="AH198" s="13">
        <f t="shared" si="20"/>
        <v>106197</v>
      </c>
      <c r="AI198" s="13">
        <f t="shared" si="21"/>
        <v>648353</v>
      </c>
    </row>
    <row r="199" spans="1:35" x14ac:dyDescent="0.25">
      <c r="A199" s="6" t="s">
        <v>1</v>
      </c>
      <c r="B199" s="7">
        <v>41</v>
      </c>
      <c r="C199" s="7" t="s">
        <v>44</v>
      </c>
      <c r="D199" s="3">
        <v>0</v>
      </c>
      <c r="E199" s="9">
        <v>0</v>
      </c>
      <c r="F199" s="3">
        <v>0</v>
      </c>
      <c r="G199" s="9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9">
        <v>0</v>
      </c>
      <c r="N199" s="5">
        <v>3</v>
      </c>
      <c r="O199" s="3">
        <v>0</v>
      </c>
      <c r="P199" s="3">
        <v>0</v>
      </c>
      <c r="Q199" s="3">
        <v>0</v>
      </c>
      <c r="R199" s="3">
        <v>987</v>
      </c>
      <c r="S199" s="3">
        <v>1248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7244</v>
      </c>
      <c r="AD199" s="13">
        <f t="shared" si="22"/>
        <v>2238</v>
      </c>
      <c r="AE199" s="13">
        <f t="shared" si="23"/>
        <v>7244</v>
      </c>
      <c r="AF199" s="13">
        <f t="shared" si="24"/>
        <v>0</v>
      </c>
      <c r="AG199" s="13">
        <f t="shared" si="19"/>
        <v>99086</v>
      </c>
      <c r="AH199" s="13">
        <f t="shared" si="20"/>
        <v>113441</v>
      </c>
      <c r="AI199" s="13">
        <f t="shared" si="21"/>
        <v>648353</v>
      </c>
    </row>
    <row r="200" spans="1:35" x14ac:dyDescent="0.25">
      <c r="A200" s="6" t="s">
        <v>1</v>
      </c>
      <c r="B200" s="7">
        <v>42</v>
      </c>
      <c r="C200" s="7" t="s">
        <v>45</v>
      </c>
      <c r="D200" s="3">
        <v>0</v>
      </c>
      <c r="E200" s="9">
        <v>0</v>
      </c>
      <c r="F200" s="3">
        <v>0</v>
      </c>
      <c r="G200" s="9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9">
        <v>0</v>
      </c>
      <c r="N200" s="5">
        <v>3</v>
      </c>
      <c r="O200" s="3">
        <v>0</v>
      </c>
      <c r="P200" s="3">
        <v>0</v>
      </c>
      <c r="Q200" s="3">
        <v>0</v>
      </c>
      <c r="R200" s="3">
        <v>1600</v>
      </c>
      <c r="S200" s="3">
        <v>1188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7498</v>
      </c>
      <c r="AD200" s="13">
        <f t="shared" si="22"/>
        <v>2791</v>
      </c>
      <c r="AE200" s="13">
        <f t="shared" si="23"/>
        <v>7498</v>
      </c>
      <c r="AF200" s="13">
        <f t="shared" si="24"/>
        <v>0</v>
      </c>
      <c r="AG200" s="13">
        <f t="shared" si="19"/>
        <v>101877</v>
      </c>
      <c r="AH200" s="13">
        <f t="shared" si="20"/>
        <v>120939</v>
      </c>
      <c r="AI200" s="13">
        <f t="shared" si="21"/>
        <v>648353</v>
      </c>
    </row>
    <row r="201" spans="1:35" x14ac:dyDescent="0.25">
      <c r="A201" s="6" t="s">
        <v>1</v>
      </c>
      <c r="B201" s="7">
        <v>43</v>
      </c>
      <c r="C201" s="7" t="s">
        <v>46</v>
      </c>
      <c r="D201" s="3">
        <v>0</v>
      </c>
      <c r="E201" s="9">
        <v>0</v>
      </c>
      <c r="F201" s="3">
        <v>0</v>
      </c>
      <c r="G201" s="9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9">
        <v>0</v>
      </c>
      <c r="N201" s="5">
        <v>0</v>
      </c>
      <c r="O201" s="3">
        <v>0</v>
      </c>
      <c r="P201" s="3">
        <v>0</v>
      </c>
      <c r="Q201" s="3">
        <v>0</v>
      </c>
      <c r="R201" s="3">
        <v>1566</v>
      </c>
      <c r="S201" s="3">
        <v>1888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8583</v>
      </c>
      <c r="AD201" s="13">
        <f t="shared" si="22"/>
        <v>3454</v>
      </c>
      <c r="AE201" s="13">
        <f t="shared" si="23"/>
        <v>8583</v>
      </c>
      <c r="AF201" s="13">
        <f t="shared" si="24"/>
        <v>0</v>
      </c>
      <c r="AG201" s="13">
        <f t="shared" si="19"/>
        <v>105331</v>
      </c>
      <c r="AH201" s="13">
        <f t="shared" si="20"/>
        <v>129522</v>
      </c>
      <c r="AI201" s="13">
        <f t="shared" si="21"/>
        <v>648353</v>
      </c>
    </row>
    <row r="202" spans="1:35" x14ac:dyDescent="0.25">
      <c r="A202" s="6" t="s">
        <v>1</v>
      </c>
      <c r="B202" s="7">
        <v>44</v>
      </c>
      <c r="C202" s="7" t="s">
        <v>47</v>
      </c>
      <c r="D202" s="3">
        <v>0</v>
      </c>
      <c r="E202" s="9">
        <v>0</v>
      </c>
      <c r="F202" s="3">
        <v>0</v>
      </c>
      <c r="G202" s="9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9">
        <v>0</v>
      </c>
      <c r="N202" s="5">
        <v>6</v>
      </c>
      <c r="O202" s="3">
        <v>0</v>
      </c>
      <c r="P202" s="3">
        <v>0</v>
      </c>
      <c r="Q202" s="3">
        <v>0</v>
      </c>
      <c r="R202" s="3">
        <v>618</v>
      </c>
      <c r="S202" s="3">
        <v>1097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6670</v>
      </c>
      <c r="AD202" s="13">
        <f t="shared" si="22"/>
        <v>1721</v>
      </c>
      <c r="AE202" s="13">
        <f t="shared" si="23"/>
        <v>6670</v>
      </c>
      <c r="AF202" s="13">
        <f t="shared" si="24"/>
        <v>0</v>
      </c>
      <c r="AG202" s="13">
        <f t="shared" si="19"/>
        <v>107052</v>
      </c>
      <c r="AH202" s="13">
        <f t="shared" si="20"/>
        <v>136192</v>
      </c>
      <c r="AI202" s="13">
        <f t="shared" si="21"/>
        <v>648353</v>
      </c>
    </row>
    <row r="203" spans="1:35" x14ac:dyDescent="0.25">
      <c r="A203" s="6" t="s">
        <v>1</v>
      </c>
      <c r="B203" s="7">
        <v>45</v>
      </c>
      <c r="C203" s="7" t="s">
        <v>48</v>
      </c>
      <c r="D203" s="3">
        <v>0</v>
      </c>
      <c r="E203" s="9">
        <v>0</v>
      </c>
      <c r="F203" s="3">
        <v>0</v>
      </c>
      <c r="G203" s="9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9">
        <v>0</v>
      </c>
      <c r="N203" s="5">
        <v>3</v>
      </c>
      <c r="O203" s="3">
        <v>0</v>
      </c>
      <c r="P203" s="3">
        <v>0</v>
      </c>
      <c r="Q203" s="3">
        <v>0</v>
      </c>
      <c r="R203" s="3">
        <v>2433</v>
      </c>
      <c r="S203" s="3">
        <v>1330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7707</v>
      </c>
      <c r="AD203" s="13">
        <f t="shared" si="22"/>
        <v>3766</v>
      </c>
      <c r="AE203" s="13">
        <f t="shared" si="23"/>
        <v>7707</v>
      </c>
      <c r="AF203" s="13">
        <f t="shared" si="24"/>
        <v>0</v>
      </c>
      <c r="AG203" s="13">
        <f t="shared" si="19"/>
        <v>110818</v>
      </c>
      <c r="AH203" s="13">
        <f t="shared" si="20"/>
        <v>143899</v>
      </c>
      <c r="AI203" s="13">
        <f t="shared" si="21"/>
        <v>648353</v>
      </c>
    </row>
    <row r="204" spans="1:35" x14ac:dyDescent="0.25">
      <c r="A204" s="6" t="s">
        <v>1</v>
      </c>
      <c r="B204" s="7">
        <v>46</v>
      </c>
      <c r="C204" s="7" t="s">
        <v>49</v>
      </c>
      <c r="D204" s="3">
        <v>0</v>
      </c>
      <c r="E204" s="9">
        <v>0</v>
      </c>
      <c r="F204" s="3">
        <v>0</v>
      </c>
      <c r="G204" s="9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9">
        <v>0</v>
      </c>
      <c r="N204" s="5">
        <v>0</v>
      </c>
      <c r="O204" s="3">
        <v>0</v>
      </c>
      <c r="P204" s="3">
        <v>0</v>
      </c>
      <c r="Q204" s="3">
        <v>0</v>
      </c>
      <c r="R204" s="3">
        <v>1295</v>
      </c>
      <c r="S204" s="3">
        <v>1358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7086</v>
      </c>
      <c r="AD204" s="13">
        <f t="shared" si="22"/>
        <v>2653</v>
      </c>
      <c r="AE204" s="13">
        <f t="shared" si="23"/>
        <v>7086</v>
      </c>
      <c r="AF204" s="13">
        <f t="shared" si="24"/>
        <v>0</v>
      </c>
      <c r="AG204" s="13">
        <f t="shared" si="19"/>
        <v>113471</v>
      </c>
      <c r="AH204" s="13">
        <f t="shared" si="20"/>
        <v>150985</v>
      </c>
      <c r="AI204" s="13">
        <f t="shared" si="21"/>
        <v>648353</v>
      </c>
    </row>
    <row r="205" spans="1:35" x14ac:dyDescent="0.25">
      <c r="A205" s="6" t="s">
        <v>1</v>
      </c>
      <c r="B205" s="7">
        <v>47</v>
      </c>
      <c r="C205" s="7" t="s">
        <v>50</v>
      </c>
      <c r="D205" s="3">
        <v>0</v>
      </c>
      <c r="E205" s="9">
        <v>0</v>
      </c>
      <c r="F205" s="3">
        <v>0</v>
      </c>
      <c r="G205" s="9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9">
        <v>0</v>
      </c>
      <c r="N205" s="5">
        <v>6</v>
      </c>
      <c r="O205" s="3">
        <v>0</v>
      </c>
      <c r="P205" s="3">
        <v>0</v>
      </c>
      <c r="Q205" s="3">
        <v>0</v>
      </c>
      <c r="R205" s="3">
        <v>654</v>
      </c>
      <c r="S205" s="3">
        <v>1572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6281</v>
      </c>
      <c r="AD205" s="13">
        <f t="shared" si="22"/>
        <v>2232</v>
      </c>
      <c r="AE205" s="13">
        <f t="shared" si="23"/>
        <v>6281</v>
      </c>
      <c r="AF205" s="13">
        <f t="shared" si="24"/>
        <v>0</v>
      </c>
      <c r="AG205" s="13">
        <f t="shared" si="19"/>
        <v>115703</v>
      </c>
      <c r="AH205" s="13">
        <f t="shared" si="20"/>
        <v>157266</v>
      </c>
      <c r="AI205" s="13">
        <f t="shared" si="21"/>
        <v>648353</v>
      </c>
    </row>
    <row r="206" spans="1:35" x14ac:dyDescent="0.25">
      <c r="A206" s="6" t="s">
        <v>1</v>
      </c>
      <c r="B206" s="7">
        <v>48</v>
      </c>
      <c r="C206" s="7" t="s">
        <v>51</v>
      </c>
      <c r="D206" s="3">
        <v>0</v>
      </c>
      <c r="E206" s="9">
        <v>0</v>
      </c>
      <c r="F206" s="3">
        <v>0</v>
      </c>
      <c r="G206" s="9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9">
        <v>0</v>
      </c>
      <c r="N206" s="5">
        <v>14</v>
      </c>
      <c r="O206" s="3">
        <v>0</v>
      </c>
      <c r="P206" s="3">
        <v>0</v>
      </c>
      <c r="Q206" s="3">
        <v>0</v>
      </c>
      <c r="R206" s="3">
        <v>207</v>
      </c>
      <c r="S206" s="3">
        <v>970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4176</v>
      </c>
      <c r="AD206" s="13">
        <f t="shared" si="22"/>
        <v>1191</v>
      </c>
      <c r="AE206" s="13">
        <f t="shared" si="23"/>
        <v>4176</v>
      </c>
      <c r="AF206" s="13">
        <f t="shared" si="24"/>
        <v>0</v>
      </c>
      <c r="AG206" s="13">
        <f t="shared" si="19"/>
        <v>116894</v>
      </c>
      <c r="AH206" s="13">
        <f t="shared" si="20"/>
        <v>161442</v>
      </c>
      <c r="AI206" s="13">
        <f t="shared" si="21"/>
        <v>648353</v>
      </c>
    </row>
    <row r="207" spans="1:35" x14ac:dyDescent="0.25">
      <c r="A207" s="6" t="s">
        <v>1</v>
      </c>
      <c r="B207" s="7">
        <v>49</v>
      </c>
      <c r="C207" s="7" t="s">
        <v>52</v>
      </c>
      <c r="D207" s="3">
        <v>0</v>
      </c>
      <c r="E207" s="9">
        <v>0</v>
      </c>
      <c r="F207" s="3">
        <v>0</v>
      </c>
      <c r="G207" s="9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9">
        <v>0</v>
      </c>
      <c r="N207" s="5">
        <v>17</v>
      </c>
      <c r="O207" s="3">
        <v>0</v>
      </c>
      <c r="P207" s="3">
        <v>0</v>
      </c>
      <c r="Q207" s="3">
        <v>0</v>
      </c>
      <c r="R207" s="3">
        <v>453</v>
      </c>
      <c r="S207" s="3">
        <v>1223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5682</v>
      </c>
      <c r="AD207" s="13">
        <f t="shared" si="22"/>
        <v>1693</v>
      </c>
      <c r="AE207" s="13">
        <f t="shared" si="23"/>
        <v>5682</v>
      </c>
      <c r="AF207" s="13">
        <f t="shared" si="24"/>
        <v>0</v>
      </c>
      <c r="AG207" s="13">
        <f t="shared" si="19"/>
        <v>118587</v>
      </c>
      <c r="AH207" s="13">
        <f t="shared" si="20"/>
        <v>167124</v>
      </c>
      <c r="AI207" s="13">
        <f t="shared" si="21"/>
        <v>648353</v>
      </c>
    </row>
    <row r="208" spans="1:35" x14ac:dyDescent="0.25">
      <c r="A208" s="6" t="s">
        <v>1</v>
      </c>
      <c r="B208" s="7">
        <v>50</v>
      </c>
      <c r="C208" s="7" t="s">
        <v>53</v>
      </c>
      <c r="D208" s="3">
        <v>0</v>
      </c>
      <c r="E208" s="9">
        <v>0</v>
      </c>
      <c r="F208" s="3">
        <v>0</v>
      </c>
      <c r="G208" s="9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9">
        <v>0</v>
      </c>
      <c r="N208" s="5">
        <v>2</v>
      </c>
      <c r="O208" s="3">
        <v>0</v>
      </c>
      <c r="P208" s="3">
        <v>0</v>
      </c>
      <c r="Q208" s="3">
        <v>0</v>
      </c>
      <c r="R208" s="3">
        <v>555</v>
      </c>
      <c r="S208" s="3">
        <v>1538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7132</v>
      </c>
      <c r="AD208" s="13">
        <f t="shared" si="22"/>
        <v>2095</v>
      </c>
      <c r="AE208" s="13">
        <f t="shared" si="23"/>
        <v>7132</v>
      </c>
      <c r="AF208" s="13">
        <f t="shared" si="24"/>
        <v>0</v>
      </c>
      <c r="AG208" s="13">
        <f t="shared" si="19"/>
        <v>120682</v>
      </c>
      <c r="AH208" s="13">
        <f t="shared" si="20"/>
        <v>174256</v>
      </c>
      <c r="AI208" s="13">
        <f t="shared" si="21"/>
        <v>648353</v>
      </c>
    </row>
    <row r="209" spans="1:35" x14ac:dyDescent="0.25">
      <c r="A209" s="6" t="s">
        <v>1</v>
      </c>
      <c r="B209" s="7">
        <v>51</v>
      </c>
      <c r="C209" s="7" t="s">
        <v>54</v>
      </c>
      <c r="D209" s="3">
        <v>0</v>
      </c>
      <c r="E209" s="9">
        <v>0</v>
      </c>
      <c r="F209" s="3">
        <v>0</v>
      </c>
      <c r="G209" s="9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9">
        <v>0</v>
      </c>
      <c r="N209" s="5">
        <v>11</v>
      </c>
      <c r="O209" s="3">
        <v>0</v>
      </c>
      <c r="P209" s="3">
        <v>0</v>
      </c>
      <c r="Q209" s="3">
        <v>0</v>
      </c>
      <c r="R209" s="3">
        <v>815</v>
      </c>
      <c r="S209" s="3">
        <v>1321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7841</v>
      </c>
      <c r="AD209" s="13">
        <f t="shared" si="22"/>
        <v>2147</v>
      </c>
      <c r="AE209" s="13">
        <f t="shared" si="23"/>
        <v>7841</v>
      </c>
      <c r="AF209" s="13">
        <f t="shared" si="24"/>
        <v>0</v>
      </c>
      <c r="AG209" s="13">
        <f t="shared" si="19"/>
        <v>122829</v>
      </c>
      <c r="AH209" s="13">
        <f t="shared" si="20"/>
        <v>182097</v>
      </c>
      <c r="AI209" s="13">
        <f t="shared" si="21"/>
        <v>648353</v>
      </c>
    </row>
    <row r="210" spans="1:35" x14ac:dyDescent="0.25">
      <c r="A210" s="6" t="s">
        <v>1</v>
      </c>
      <c r="B210" s="7">
        <v>52</v>
      </c>
      <c r="C210" s="7" t="s">
        <v>55</v>
      </c>
      <c r="D210" s="3">
        <v>0</v>
      </c>
      <c r="E210" s="9">
        <v>0</v>
      </c>
      <c r="F210" s="3">
        <v>0</v>
      </c>
      <c r="G210" s="9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9">
        <v>0</v>
      </c>
      <c r="N210" s="11">
        <v>1860</v>
      </c>
      <c r="O210" s="3">
        <v>0</v>
      </c>
      <c r="P210" s="12">
        <v>0</v>
      </c>
      <c r="Q210" s="3">
        <v>0</v>
      </c>
      <c r="R210" s="3">
        <v>3103</v>
      </c>
      <c r="S210" s="3">
        <v>2383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12">
        <v>0</v>
      </c>
      <c r="AA210" s="12">
        <v>0</v>
      </c>
      <c r="AB210" s="3">
        <v>0</v>
      </c>
      <c r="AC210" s="3">
        <v>8508</v>
      </c>
      <c r="AD210" s="13">
        <f t="shared" si="22"/>
        <v>7346</v>
      </c>
      <c r="AE210" s="13">
        <f t="shared" si="23"/>
        <v>8508</v>
      </c>
      <c r="AF210" s="13">
        <f t="shared" si="24"/>
        <v>0</v>
      </c>
      <c r="AG210" s="13">
        <f t="shared" si="19"/>
        <v>130175</v>
      </c>
      <c r="AH210" s="13">
        <f t="shared" si="20"/>
        <v>190605</v>
      </c>
      <c r="AI210" s="13">
        <f t="shared" si="21"/>
        <v>648353</v>
      </c>
    </row>
    <row r="211" spans="1:35" s="20" customFormat="1" x14ac:dyDescent="0.25">
      <c r="A211" s="16" t="s">
        <v>65</v>
      </c>
      <c r="B211" s="17">
        <v>1</v>
      </c>
      <c r="C211" s="17" t="s">
        <v>66</v>
      </c>
      <c r="D211" s="18">
        <v>0</v>
      </c>
      <c r="E211" s="24">
        <v>1309</v>
      </c>
      <c r="F211" s="18">
        <v>0</v>
      </c>
      <c r="G211" s="24">
        <v>1116</v>
      </c>
      <c r="H211" s="18">
        <v>0</v>
      </c>
      <c r="I211" s="18">
        <v>0</v>
      </c>
      <c r="J211" s="18">
        <v>0</v>
      </c>
      <c r="K211" s="18">
        <v>0</v>
      </c>
      <c r="L211" s="18">
        <v>0</v>
      </c>
      <c r="M211" s="25">
        <v>0</v>
      </c>
      <c r="N211" s="22">
        <v>0</v>
      </c>
      <c r="O211" s="18">
        <v>0</v>
      </c>
      <c r="P211" s="22">
        <v>0</v>
      </c>
      <c r="Q211" s="18">
        <v>0</v>
      </c>
      <c r="R211" s="23">
        <v>1678</v>
      </c>
      <c r="S211" s="18">
        <v>304</v>
      </c>
      <c r="T211" s="18">
        <v>0</v>
      </c>
      <c r="U211" s="18">
        <v>0</v>
      </c>
      <c r="V211" s="18">
        <v>0</v>
      </c>
      <c r="W211" s="26">
        <v>0</v>
      </c>
      <c r="X211" s="18">
        <v>0</v>
      </c>
      <c r="Y211" s="18">
        <v>0</v>
      </c>
      <c r="Z211" s="22">
        <v>0</v>
      </c>
      <c r="AA211" s="22">
        <v>0</v>
      </c>
      <c r="AB211" s="23">
        <v>0</v>
      </c>
      <c r="AC211" s="18">
        <v>2936</v>
      </c>
      <c r="AD211" s="19">
        <f t="shared" si="22"/>
        <v>4407</v>
      </c>
      <c r="AE211" s="19">
        <f t="shared" si="23"/>
        <v>2936</v>
      </c>
      <c r="AF211" s="19">
        <f t="shared" si="24"/>
        <v>0</v>
      </c>
      <c r="AG211" s="19">
        <f>AD211</f>
        <v>4407</v>
      </c>
      <c r="AH211" s="19">
        <f>AE211</f>
        <v>2936</v>
      </c>
      <c r="AI211" s="19">
        <f>AF211</f>
        <v>0</v>
      </c>
    </row>
    <row r="212" spans="1:35" x14ac:dyDescent="0.25">
      <c r="A212" s="6" t="s">
        <v>65</v>
      </c>
      <c r="B212" s="2">
        <v>2</v>
      </c>
      <c r="C212" s="2" t="s">
        <v>67</v>
      </c>
      <c r="D212" s="3">
        <v>0</v>
      </c>
      <c r="E212" s="3">
        <v>905</v>
      </c>
      <c r="F212" s="3">
        <v>0</v>
      </c>
      <c r="G212" s="3">
        <v>1975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10">
        <v>0</v>
      </c>
      <c r="N212" s="9">
        <v>0</v>
      </c>
      <c r="O212" s="3">
        <v>0</v>
      </c>
      <c r="P212" s="9">
        <v>0</v>
      </c>
      <c r="Q212" s="3">
        <v>0</v>
      </c>
      <c r="R212" s="5">
        <v>1936</v>
      </c>
      <c r="S212" s="3">
        <v>203</v>
      </c>
      <c r="T212" s="3">
        <v>0</v>
      </c>
      <c r="U212" s="3">
        <v>0</v>
      </c>
      <c r="V212" s="3">
        <v>0</v>
      </c>
      <c r="W212" s="10">
        <v>0</v>
      </c>
      <c r="X212" s="3">
        <v>0</v>
      </c>
      <c r="Y212" s="3">
        <v>0</v>
      </c>
      <c r="Z212" s="9">
        <v>0</v>
      </c>
      <c r="AA212" s="9">
        <v>0</v>
      </c>
      <c r="AB212" s="5">
        <v>0</v>
      </c>
      <c r="AC212" s="3">
        <v>4737</v>
      </c>
      <c r="AD212" s="13">
        <f t="shared" si="22"/>
        <v>5019</v>
      </c>
      <c r="AE212" s="13">
        <f t="shared" si="23"/>
        <v>4737</v>
      </c>
      <c r="AF212" s="13">
        <f t="shared" si="24"/>
        <v>0</v>
      </c>
      <c r="AG212" s="13">
        <f>AG211+AD212</f>
        <v>9426</v>
      </c>
      <c r="AH212" s="13">
        <f>AH211+AE212</f>
        <v>7673</v>
      </c>
      <c r="AI212" s="13">
        <f>AI211+AF212</f>
        <v>0</v>
      </c>
    </row>
    <row r="213" spans="1:35" x14ac:dyDescent="0.25">
      <c r="A213" s="6" t="s">
        <v>65</v>
      </c>
      <c r="B213" s="2">
        <v>3</v>
      </c>
      <c r="C213" s="2" t="s">
        <v>68</v>
      </c>
      <c r="D213" s="3">
        <v>0</v>
      </c>
      <c r="E213" s="3">
        <v>2318</v>
      </c>
      <c r="F213" s="3">
        <v>0</v>
      </c>
      <c r="G213" s="3">
        <v>2164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10">
        <v>0</v>
      </c>
      <c r="N213" s="9">
        <v>0</v>
      </c>
      <c r="O213" s="3">
        <v>0</v>
      </c>
      <c r="P213" s="9">
        <v>0</v>
      </c>
      <c r="Q213" s="3">
        <v>0</v>
      </c>
      <c r="R213" s="5">
        <v>1605</v>
      </c>
      <c r="S213" s="3">
        <v>752</v>
      </c>
      <c r="T213" s="3">
        <v>0</v>
      </c>
      <c r="U213" s="3">
        <v>0</v>
      </c>
      <c r="V213" s="3">
        <v>0</v>
      </c>
      <c r="W213" s="10">
        <v>0</v>
      </c>
      <c r="X213" s="3">
        <v>0</v>
      </c>
      <c r="Y213" s="3">
        <v>0</v>
      </c>
      <c r="Z213" s="9">
        <v>0</v>
      </c>
      <c r="AA213" s="9">
        <v>0</v>
      </c>
      <c r="AB213" s="5">
        <v>0</v>
      </c>
      <c r="AC213" s="3">
        <v>5211</v>
      </c>
      <c r="AD213" s="13">
        <f t="shared" si="22"/>
        <v>6839</v>
      </c>
      <c r="AE213" s="13">
        <f t="shared" si="23"/>
        <v>5211</v>
      </c>
      <c r="AF213" s="13">
        <f t="shared" si="24"/>
        <v>0</v>
      </c>
      <c r="AG213" s="13">
        <f t="shared" ref="AG213:AG262" si="25">AG212+AD213</f>
        <v>16265</v>
      </c>
      <c r="AH213" s="13">
        <f t="shared" ref="AH213:AH262" si="26">AH212+AE213</f>
        <v>12884</v>
      </c>
      <c r="AI213" s="13">
        <f t="shared" ref="AI213:AI262" si="27">AI212+AF213</f>
        <v>0</v>
      </c>
    </row>
    <row r="214" spans="1:35" x14ac:dyDescent="0.25">
      <c r="A214" s="6" t="s">
        <v>65</v>
      </c>
      <c r="B214" s="2">
        <v>4</v>
      </c>
      <c r="C214" s="2" t="s">
        <v>69</v>
      </c>
      <c r="D214" s="3">
        <v>0</v>
      </c>
      <c r="E214" s="3">
        <v>2424</v>
      </c>
      <c r="F214" s="3">
        <v>0</v>
      </c>
      <c r="G214" s="3">
        <v>1470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10">
        <v>0</v>
      </c>
      <c r="N214" s="9">
        <v>0</v>
      </c>
      <c r="O214" s="3">
        <v>0</v>
      </c>
      <c r="P214" s="9">
        <v>0</v>
      </c>
      <c r="Q214" s="3">
        <v>0</v>
      </c>
      <c r="R214" s="5">
        <v>1314</v>
      </c>
      <c r="S214" s="3">
        <v>894</v>
      </c>
      <c r="T214" s="3">
        <v>0</v>
      </c>
      <c r="U214" s="3">
        <v>0</v>
      </c>
      <c r="V214" s="3">
        <v>0</v>
      </c>
      <c r="W214" s="10">
        <v>662</v>
      </c>
      <c r="X214" s="3">
        <v>0</v>
      </c>
      <c r="Y214" s="3">
        <v>0</v>
      </c>
      <c r="Z214" s="9">
        <v>0</v>
      </c>
      <c r="AA214" s="9">
        <v>0</v>
      </c>
      <c r="AB214" s="5">
        <v>0</v>
      </c>
      <c r="AC214" s="3">
        <v>8491</v>
      </c>
      <c r="AD214" s="13">
        <f t="shared" si="22"/>
        <v>6102</v>
      </c>
      <c r="AE214" s="13">
        <f t="shared" si="23"/>
        <v>8491</v>
      </c>
      <c r="AF214" s="13">
        <f t="shared" si="24"/>
        <v>662</v>
      </c>
      <c r="AG214" s="13">
        <f t="shared" si="25"/>
        <v>22367</v>
      </c>
      <c r="AH214" s="13">
        <f t="shared" si="26"/>
        <v>21375</v>
      </c>
      <c r="AI214" s="13">
        <f t="shared" si="27"/>
        <v>662</v>
      </c>
    </row>
    <row r="215" spans="1:35" x14ac:dyDescent="0.25">
      <c r="A215" s="6" t="s">
        <v>65</v>
      </c>
      <c r="B215" s="2">
        <v>5</v>
      </c>
      <c r="C215" s="2" t="s">
        <v>70</v>
      </c>
      <c r="D215" s="3">
        <v>0</v>
      </c>
      <c r="E215" s="3">
        <v>2005</v>
      </c>
      <c r="F215" s="3">
        <v>0</v>
      </c>
      <c r="G215" s="3">
        <v>2057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10">
        <v>0</v>
      </c>
      <c r="N215" s="9">
        <v>0</v>
      </c>
      <c r="O215" s="3">
        <v>0</v>
      </c>
      <c r="P215" s="9">
        <v>0</v>
      </c>
      <c r="Q215" s="3">
        <v>0</v>
      </c>
      <c r="R215" s="5">
        <v>1392</v>
      </c>
      <c r="S215" s="3">
        <v>1467</v>
      </c>
      <c r="T215" s="3">
        <v>0</v>
      </c>
      <c r="U215" s="3">
        <v>0</v>
      </c>
      <c r="V215" s="3">
        <v>0</v>
      </c>
      <c r="W215" s="10">
        <v>432</v>
      </c>
      <c r="X215" s="3">
        <v>0</v>
      </c>
      <c r="Y215" s="3">
        <v>0</v>
      </c>
      <c r="Z215" s="9">
        <v>0</v>
      </c>
      <c r="AA215" s="9">
        <v>0</v>
      </c>
      <c r="AB215" s="5">
        <v>71</v>
      </c>
      <c r="AC215" s="3">
        <v>8790</v>
      </c>
      <c r="AD215" s="13">
        <f t="shared" si="22"/>
        <v>6921</v>
      </c>
      <c r="AE215" s="13">
        <f t="shared" si="23"/>
        <v>8790</v>
      </c>
      <c r="AF215" s="13">
        <f t="shared" si="24"/>
        <v>503</v>
      </c>
      <c r="AG215" s="13">
        <f t="shared" si="25"/>
        <v>29288</v>
      </c>
      <c r="AH215" s="13">
        <f t="shared" si="26"/>
        <v>30165</v>
      </c>
      <c r="AI215" s="13">
        <f t="shared" si="27"/>
        <v>1165</v>
      </c>
    </row>
    <row r="216" spans="1:35" x14ac:dyDescent="0.25">
      <c r="A216" s="6" t="s">
        <v>65</v>
      </c>
      <c r="B216" s="2">
        <v>6</v>
      </c>
      <c r="C216" s="2" t="s">
        <v>71</v>
      </c>
      <c r="D216" s="3">
        <v>0</v>
      </c>
      <c r="E216" s="3">
        <v>1858</v>
      </c>
      <c r="F216" s="3">
        <v>0</v>
      </c>
      <c r="G216" s="3">
        <v>1804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10">
        <v>0</v>
      </c>
      <c r="N216" s="9">
        <v>0</v>
      </c>
      <c r="O216" s="3">
        <v>0</v>
      </c>
      <c r="P216" s="9">
        <v>0</v>
      </c>
      <c r="Q216" s="3">
        <v>0</v>
      </c>
      <c r="R216" s="5">
        <v>1069</v>
      </c>
      <c r="S216" s="3">
        <v>1920</v>
      </c>
      <c r="T216" s="3">
        <v>0</v>
      </c>
      <c r="U216" s="3">
        <v>0</v>
      </c>
      <c r="V216" s="3">
        <v>0</v>
      </c>
      <c r="W216" s="10">
        <v>0</v>
      </c>
      <c r="X216" s="3">
        <v>0</v>
      </c>
      <c r="Y216" s="3">
        <v>0</v>
      </c>
      <c r="Z216" s="9">
        <v>0</v>
      </c>
      <c r="AA216" s="9">
        <v>0</v>
      </c>
      <c r="AB216" s="5">
        <v>417</v>
      </c>
      <c r="AC216" s="3">
        <v>7381</v>
      </c>
      <c r="AD216" s="13">
        <f t="shared" si="22"/>
        <v>6651</v>
      </c>
      <c r="AE216" s="13">
        <f t="shared" si="23"/>
        <v>7381</v>
      </c>
      <c r="AF216" s="13">
        <f t="shared" si="24"/>
        <v>417</v>
      </c>
      <c r="AG216" s="13">
        <f t="shared" si="25"/>
        <v>35939</v>
      </c>
      <c r="AH216" s="13">
        <f t="shared" si="26"/>
        <v>37546</v>
      </c>
      <c r="AI216" s="13">
        <f t="shared" si="27"/>
        <v>1582</v>
      </c>
    </row>
    <row r="217" spans="1:35" x14ac:dyDescent="0.25">
      <c r="A217" s="6" t="s">
        <v>65</v>
      </c>
      <c r="B217" s="2">
        <v>7</v>
      </c>
      <c r="C217" s="2" t="s">
        <v>72</v>
      </c>
      <c r="D217" s="3">
        <v>0</v>
      </c>
      <c r="E217" s="3">
        <v>2066</v>
      </c>
      <c r="F217" s="3">
        <v>0</v>
      </c>
      <c r="G217" s="3">
        <v>1916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10">
        <v>0</v>
      </c>
      <c r="N217" s="9">
        <v>0</v>
      </c>
      <c r="O217" s="3">
        <v>0</v>
      </c>
      <c r="P217" s="9">
        <v>0</v>
      </c>
      <c r="Q217" s="3">
        <v>0</v>
      </c>
      <c r="R217" s="5">
        <v>2511</v>
      </c>
      <c r="S217" s="3">
        <v>1160</v>
      </c>
      <c r="T217" s="3">
        <v>0</v>
      </c>
      <c r="U217" s="3">
        <v>0</v>
      </c>
      <c r="V217" s="3">
        <v>0</v>
      </c>
      <c r="W217" s="10">
        <v>237</v>
      </c>
      <c r="X217" s="3">
        <v>0</v>
      </c>
      <c r="Y217" s="3">
        <v>0</v>
      </c>
      <c r="Z217" s="9">
        <v>0</v>
      </c>
      <c r="AA217" s="9">
        <v>0</v>
      </c>
      <c r="AB217" s="5">
        <v>0</v>
      </c>
      <c r="AC217" s="3">
        <v>9669</v>
      </c>
      <c r="AD217" s="13">
        <f t="shared" si="22"/>
        <v>7653</v>
      </c>
      <c r="AE217" s="13">
        <f t="shared" si="23"/>
        <v>9669</v>
      </c>
      <c r="AF217" s="13">
        <f t="shared" si="24"/>
        <v>237</v>
      </c>
      <c r="AG217" s="13">
        <f t="shared" si="25"/>
        <v>43592</v>
      </c>
      <c r="AH217" s="13">
        <f t="shared" si="26"/>
        <v>47215</v>
      </c>
      <c r="AI217" s="13">
        <f t="shared" si="27"/>
        <v>1819</v>
      </c>
    </row>
    <row r="218" spans="1:35" x14ac:dyDescent="0.25">
      <c r="A218" s="6" t="s">
        <v>65</v>
      </c>
      <c r="B218" s="2">
        <v>8</v>
      </c>
      <c r="C218" s="2" t="s">
        <v>73</v>
      </c>
      <c r="D218" s="3">
        <v>0</v>
      </c>
      <c r="E218" s="3">
        <v>1274</v>
      </c>
      <c r="F218" s="3">
        <v>0</v>
      </c>
      <c r="G218" s="3">
        <v>1847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10">
        <v>0</v>
      </c>
      <c r="N218" s="9">
        <v>0</v>
      </c>
      <c r="O218" s="3">
        <v>0</v>
      </c>
      <c r="P218" s="9">
        <v>0</v>
      </c>
      <c r="Q218" s="3">
        <v>0</v>
      </c>
      <c r="R218" s="5">
        <v>1309</v>
      </c>
      <c r="S218" s="3">
        <v>849</v>
      </c>
      <c r="T218" s="3">
        <v>0</v>
      </c>
      <c r="U218" s="3">
        <v>0</v>
      </c>
      <c r="V218" s="3">
        <v>0</v>
      </c>
      <c r="W218" s="10">
        <v>0</v>
      </c>
      <c r="X218" s="3">
        <v>0</v>
      </c>
      <c r="Y218" s="3">
        <v>0</v>
      </c>
      <c r="Z218" s="9">
        <v>0</v>
      </c>
      <c r="AA218" s="9">
        <v>0</v>
      </c>
      <c r="AB218" s="5">
        <v>0</v>
      </c>
      <c r="AC218" s="3">
        <v>8894</v>
      </c>
      <c r="AD218" s="13">
        <f t="shared" si="22"/>
        <v>5279</v>
      </c>
      <c r="AE218" s="13">
        <f t="shared" si="23"/>
        <v>8894</v>
      </c>
      <c r="AF218" s="13">
        <f t="shared" si="24"/>
        <v>0</v>
      </c>
      <c r="AG218" s="13">
        <f t="shared" si="25"/>
        <v>48871</v>
      </c>
      <c r="AH218" s="13">
        <f t="shared" si="26"/>
        <v>56109</v>
      </c>
      <c r="AI218" s="13">
        <f t="shared" si="27"/>
        <v>1819</v>
      </c>
    </row>
    <row r="219" spans="1:35" x14ac:dyDescent="0.25">
      <c r="A219" s="6" t="s">
        <v>65</v>
      </c>
      <c r="B219" s="2">
        <v>9</v>
      </c>
      <c r="C219" s="2" t="s">
        <v>74</v>
      </c>
      <c r="D219" s="3">
        <v>0</v>
      </c>
      <c r="E219" s="3">
        <v>2297</v>
      </c>
      <c r="F219" s="3">
        <v>0</v>
      </c>
      <c r="G219" s="3">
        <v>1729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10">
        <v>0</v>
      </c>
      <c r="N219" s="9">
        <v>0</v>
      </c>
      <c r="O219" s="3">
        <v>0</v>
      </c>
      <c r="P219" s="9">
        <v>0</v>
      </c>
      <c r="Q219" s="3">
        <v>0</v>
      </c>
      <c r="R219" s="5">
        <v>537</v>
      </c>
      <c r="S219" s="3">
        <v>2016</v>
      </c>
      <c r="T219" s="3">
        <v>0</v>
      </c>
      <c r="U219" s="3">
        <v>0</v>
      </c>
      <c r="V219" s="3">
        <v>0</v>
      </c>
      <c r="W219" s="10">
        <v>0</v>
      </c>
      <c r="X219" s="3">
        <v>0</v>
      </c>
      <c r="Y219" s="3">
        <v>0</v>
      </c>
      <c r="Z219" s="9">
        <v>0</v>
      </c>
      <c r="AA219" s="9">
        <v>0</v>
      </c>
      <c r="AB219" s="5">
        <v>0</v>
      </c>
      <c r="AC219" s="3">
        <v>8468</v>
      </c>
      <c r="AD219" s="13">
        <f t="shared" si="22"/>
        <v>6579</v>
      </c>
      <c r="AE219" s="13">
        <f t="shared" si="23"/>
        <v>8468</v>
      </c>
      <c r="AF219" s="13">
        <f t="shared" si="24"/>
        <v>0</v>
      </c>
      <c r="AG219" s="13">
        <f t="shared" si="25"/>
        <v>55450</v>
      </c>
      <c r="AH219" s="13">
        <f t="shared" si="26"/>
        <v>64577</v>
      </c>
      <c r="AI219" s="13">
        <f t="shared" si="27"/>
        <v>1819</v>
      </c>
    </row>
    <row r="220" spans="1:35" x14ac:dyDescent="0.25">
      <c r="A220" s="6" t="s">
        <v>65</v>
      </c>
      <c r="B220" s="2">
        <v>10</v>
      </c>
      <c r="C220" s="2" t="s">
        <v>75</v>
      </c>
      <c r="D220" s="3">
        <v>0</v>
      </c>
      <c r="E220" s="3">
        <v>2440</v>
      </c>
      <c r="F220" s="3">
        <v>0</v>
      </c>
      <c r="G220" s="3">
        <v>1723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10">
        <v>0</v>
      </c>
      <c r="N220" s="9">
        <v>0</v>
      </c>
      <c r="O220" s="3">
        <v>0</v>
      </c>
      <c r="P220" s="9">
        <v>0</v>
      </c>
      <c r="Q220" s="3">
        <v>0</v>
      </c>
      <c r="R220" s="5">
        <v>407</v>
      </c>
      <c r="S220" s="3">
        <v>629</v>
      </c>
      <c r="T220" s="3">
        <v>0</v>
      </c>
      <c r="U220" s="3">
        <v>0</v>
      </c>
      <c r="V220" s="3">
        <v>0</v>
      </c>
      <c r="W220" s="10">
        <v>339</v>
      </c>
      <c r="X220" s="3">
        <v>0</v>
      </c>
      <c r="Y220" s="3">
        <v>0</v>
      </c>
      <c r="Z220" s="9">
        <v>0</v>
      </c>
      <c r="AA220" s="9">
        <v>0</v>
      </c>
      <c r="AB220" s="5">
        <v>0</v>
      </c>
      <c r="AC220" s="3">
        <v>6621</v>
      </c>
      <c r="AD220" s="13">
        <f t="shared" si="22"/>
        <v>5199</v>
      </c>
      <c r="AE220" s="13">
        <f t="shared" si="23"/>
        <v>6621</v>
      </c>
      <c r="AF220" s="13">
        <f t="shared" si="24"/>
        <v>339</v>
      </c>
      <c r="AG220" s="13">
        <f t="shared" si="25"/>
        <v>60649</v>
      </c>
      <c r="AH220" s="13">
        <f t="shared" si="26"/>
        <v>71198</v>
      </c>
      <c r="AI220" s="13">
        <f t="shared" si="27"/>
        <v>2158</v>
      </c>
    </row>
    <row r="221" spans="1:35" x14ac:dyDescent="0.25">
      <c r="A221" s="6" t="s">
        <v>65</v>
      </c>
      <c r="B221" s="2">
        <v>11</v>
      </c>
      <c r="C221" s="2" t="s">
        <v>76</v>
      </c>
      <c r="D221" s="3">
        <v>0</v>
      </c>
      <c r="E221" s="3">
        <v>1755</v>
      </c>
      <c r="F221" s="3">
        <v>0</v>
      </c>
      <c r="G221" s="3">
        <v>1473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10">
        <v>0</v>
      </c>
      <c r="N221" s="9">
        <v>0</v>
      </c>
      <c r="O221" s="3">
        <v>0</v>
      </c>
      <c r="P221" s="9">
        <v>0</v>
      </c>
      <c r="Q221" s="3">
        <v>0</v>
      </c>
      <c r="R221" s="5">
        <v>1081</v>
      </c>
      <c r="S221" s="3">
        <v>1135</v>
      </c>
      <c r="T221" s="3">
        <v>0</v>
      </c>
      <c r="U221" s="3">
        <v>0</v>
      </c>
      <c r="V221" s="3">
        <v>0</v>
      </c>
      <c r="W221" s="10">
        <v>0</v>
      </c>
      <c r="X221" s="3">
        <v>0</v>
      </c>
      <c r="Y221" s="3">
        <v>0</v>
      </c>
      <c r="Z221" s="9">
        <v>0</v>
      </c>
      <c r="AA221" s="9">
        <v>0</v>
      </c>
      <c r="AB221" s="5">
        <v>0</v>
      </c>
      <c r="AC221" s="3">
        <v>9808</v>
      </c>
      <c r="AD221" s="13">
        <f t="shared" si="22"/>
        <v>5444</v>
      </c>
      <c r="AE221" s="13">
        <f t="shared" si="23"/>
        <v>9808</v>
      </c>
      <c r="AF221" s="13">
        <f t="shared" si="24"/>
        <v>0</v>
      </c>
      <c r="AG221" s="13">
        <f t="shared" si="25"/>
        <v>66093</v>
      </c>
      <c r="AH221" s="13">
        <f t="shared" si="26"/>
        <v>81006</v>
      </c>
      <c r="AI221" s="13">
        <f t="shared" si="27"/>
        <v>2158</v>
      </c>
    </row>
    <row r="222" spans="1:35" x14ac:dyDescent="0.25">
      <c r="A222" s="6" t="s">
        <v>65</v>
      </c>
      <c r="B222" s="2">
        <v>12</v>
      </c>
      <c r="C222" s="2" t="s">
        <v>77</v>
      </c>
      <c r="D222" s="3">
        <v>0</v>
      </c>
      <c r="E222" s="3">
        <v>1922</v>
      </c>
      <c r="F222" s="3">
        <v>0</v>
      </c>
      <c r="G222" s="3">
        <v>1188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10">
        <v>0</v>
      </c>
      <c r="N222" s="9">
        <v>0</v>
      </c>
      <c r="O222" s="3">
        <v>0</v>
      </c>
      <c r="P222" s="9">
        <v>0</v>
      </c>
      <c r="Q222" s="3">
        <v>0</v>
      </c>
      <c r="R222" s="5">
        <v>1634</v>
      </c>
      <c r="S222" s="3">
        <v>1355</v>
      </c>
      <c r="T222" s="3">
        <v>0</v>
      </c>
      <c r="U222" s="3">
        <v>0</v>
      </c>
      <c r="V222" s="3">
        <v>0</v>
      </c>
      <c r="W222" s="10">
        <v>663</v>
      </c>
      <c r="X222" s="3">
        <v>0</v>
      </c>
      <c r="Y222" s="3">
        <v>0</v>
      </c>
      <c r="Z222" s="9">
        <v>0</v>
      </c>
      <c r="AA222" s="9">
        <v>0</v>
      </c>
      <c r="AB222" s="5">
        <v>0</v>
      </c>
      <c r="AC222" s="3">
        <v>8249</v>
      </c>
      <c r="AD222" s="13">
        <f t="shared" si="22"/>
        <v>6099</v>
      </c>
      <c r="AE222" s="13">
        <f t="shared" si="23"/>
        <v>8249</v>
      </c>
      <c r="AF222" s="13">
        <f t="shared" si="24"/>
        <v>663</v>
      </c>
      <c r="AG222" s="13">
        <f t="shared" si="25"/>
        <v>72192</v>
      </c>
      <c r="AH222" s="13">
        <f t="shared" si="26"/>
        <v>89255</v>
      </c>
      <c r="AI222" s="13">
        <f t="shared" si="27"/>
        <v>2821</v>
      </c>
    </row>
    <row r="223" spans="1:35" x14ac:dyDescent="0.25">
      <c r="A223" s="6" t="s">
        <v>65</v>
      </c>
      <c r="B223" s="2">
        <v>13</v>
      </c>
      <c r="C223" s="2" t="s">
        <v>78</v>
      </c>
      <c r="D223" s="3">
        <v>0</v>
      </c>
      <c r="E223" s="3">
        <v>1744</v>
      </c>
      <c r="F223" s="3">
        <v>0</v>
      </c>
      <c r="G223" s="3">
        <v>621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10">
        <v>0</v>
      </c>
      <c r="N223" s="9">
        <v>0</v>
      </c>
      <c r="O223" s="3">
        <v>0</v>
      </c>
      <c r="P223" s="9">
        <v>0</v>
      </c>
      <c r="Q223" s="3">
        <v>0</v>
      </c>
      <c r="R223" s="5">
        <v>2158</v>
      </c>
      <c r="S223" s="3">
        <v>2141</v>
      </c>
      <c r="T223" s="3">
        <v>0</v>
      </c>
      <c r="U223" s="3">
        <v>0</v>
      </c>
      <c r="V223" s="3">
        <v>0</v>
      </c>
      <c r="W223" s="10">
        <v>0</v>
      </c>
      <c r="X223" s="3">
        <v>0</v>
      </c>
      <c r="Y223" s="3">
        <v>0</v>
      </c>
      <c r="Z223" s="9">
        <v>0</v>
      </c>
      <c r="AA223" s="9">
        <v>0</v>
      </c>
      <c r="AB223" s="5">
        <v>0</v>
      </c>
      <c r="AC223" s="3">
        <v>8347</v>
      </c>
      <c r="AD223" s="13">
        <f t="shared" si="22"/>
        <v>6664</v>
      </c>
      <c r="AE223" s="13">
        <f t="shared" si="23"/>
        <v>8347</v>
      </c>
      <c r="AF223" s="13">
        <f t="shared" si="24"/>
        <v>0</v>
      </c>
      <c r="AG223" s="13">
        <f t="shared" si="25"/>
        <v>78856</v>
      </c>
      <c r="AH223" s="13">
        <f t="shared" si="26"/>
        <v>97602</v>
      </c>
      <c r="AI223" s="13">
        <f t="shared" si="27"/>
        <v>2821</v>
      </c>
    </row>
    <row r="224" spans="1:35" x14ac:dyDescent="0.25">
      <c r="A224" s="6" t="s">
        <v>65</v>
      </c>
      <c r="B224" s="2">
        <v>14</v>
      </c>
      <c r="C224" s="2" t="s">
        <v>79</v>
      </c>
      <c r="D224" s="3">
        <v>0</v>
      </c>
      <c r="E224" s="3">
        <v>2130</v>
      </c>
      <c r="F224" s="3">
        <v>0</v>
      </c>
      <c r="G224" s="3">
        <v>1607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10">
        <v>0</v>
      </c>
      <c r="N224" s="9">
        <v>0</v>
      </c>
      <c r="O224" s="3">
        <v>0</v>
      </c>
      <c r="P224" s="9">
        <v>0</v>
      </c>
      <c r="Q224" s="3">
        <v>0</v>
      </c>
      <c r="R224" s="5">
        <v>1141</v>
      </c>
      <c r="S224" s="3">
        <v>1518</v>
      </c>
      <c r="T224" s="3">
        <v>0</v>
      </c>
      <c r="U224" s="3">
        <v>0</v>
      </c>
      <c r="V224" s="3">
        <v>0</v>
      </c>
      <c r="W224" s="10">
        <v>0</v>
      </c>
      <c r="X224" s="3">
        <v>0</v>
      </c>
      <c r="Y224" s="3">
        <v>0</v>
      </c>
      <c r="Z224" s="9">
        <v>0</v>
      </c>
      <c r="AA224" s="9">
        <v>0</v>
      </c>
      <c r="AB224" s="5">
        <v>0</v>
      </c>
      <c r="AC224" s="3">
        <v>9684</v>
      </c>
      <c r="AD224" s="13">
        <f t="shared" si="22"/>
        <v>6396</v>
      </c>
      <c r="AE224" s="13">
        <f t="shared" si="23"/>
        <v>9684</v>
      </c>
      <c r="AF224" s="13">
        <f t="shared" si="24"/>
        <v>0</v>
      </c>
      <c r="AG224" s="13">
        <f t="shared" si="25"/>
        <v>85252</v>
      </c>
      <c r="AH224" s="13">
        <f t="shared" si="26"/>
        <v>107286</v>
      </c>
      <c r="AI224" s="13">
        <f t="shared" si="27"/>
        <v>2821</v>
      </c>
    </row>
    <row r="225" spans="1:35" x14ac:dyDescent="0.25">
      <c r="A225" s="6" t="s">
        <v>65</v>
      </c>
      <c r="B225" s="2">
        <v>15</v>
      </c>
      <c r="C225" s="2" t="s">
        <v>80</v>
      </c>
      <c r="D225" s="3">
        <v>0</v>
      </c>
      <c r="E225" s="3">
        <v>2458</v>
      </c>
      <c r="F225" s="3">
        <v>0</v>
      </c>
      <c r="G225" s="3">
        <v>1705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10">
        <v>0</v>
      </c>
      <c r="N225" s="9">
        <v>0</v>
      </c>
      <c r="O225" s="3">
        <v>0</v>
      </c>
      <c r="P225" s="9">
        <v>0</v>
      </c>
      <c r="Q225" s="3">
        <v>0</v>
      </c>
      <c r="R225" s="5">
        <v>628</v>
      </c>
      <c r="S225" s="3">
        <v>1321</v>
      </c>
      <c r="T225" s="3">
        <v>0</v>
      </c>
      <c r="U225" s="3">
        <v>0</v>
      </c>
      <c r="V225" s="3">
        <v>0</v>
      </c>
      <c r="W225" s="10">
        <v>0</v>
      </c>
      <c r="X225" s="3">
        <v>0</v>
      </c>
      <c r="Y225" s="3">
        <v>0</v>
      </c>
      <c r="Z225" s="9">
        <v>0</v>
      </c>
      <c r="AA225" s="9">
        <v>0</v>
      </c>
      <c r="AB225" s="5">
        <v>0</v>
      </c>
      <c r="AC225" s="3">
        <v>8061</v>
      </c>
      <c r="AD225" s="13">
        <f t="shared" si="22"/>
        <v>6112</v>
      </c>
      <c r="AE225" s="13">
        <f t="shared" si="23"/>
        <v>8061</v>
      </c>
      <c r="AF225" s="13">
        <f t="shared" si="24"/>
        <v>0</v>
      </c>
      <c r="AG225" s="13">
        <f t="shared" si="25"/>
        <v>91364</v>
      </c>
      <c r="AH225" s="13">
        <f t="shared" si="26"/>
        <v>115347</v>
      </c>
      <c r="AI225" s="13">
        <f t="shared" si="27"/>
        <v>2821</v>
      </c>
    </row>
    <row r="226" spans="1:35" x14ac:dyDescent="0.25">
      <c r="A226" s="6" t="s">
        <v>65</v>
      </c>
      <c r="B226" s="2">
        <v>16</v>
      </c>
      <c r="C226" s="2" t="s">
        <v>81</v>
      </c>
      <c r="D226" s="3">
        <v>0</v>
      </c>
      <c r="E226" s="3">
        <v>1769</v>
      </c>
      <c r="F226" s="3">
        <v>0</v>
      </c>
      <c r="G226" s="3">
        <v>2011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10">
        <v>0</v>
      </c>
      <c r="N226" s="9">
        <v>0</v>
      </c>
      <c r="O226" s="3">
        <v>0</v>
      </c>
      <c r="P226" s="9">
        <v>0</v>
      </c>
      <c r="Q226" s="3">
        <v>0</v>
      </c>
      <c r="R226" s="5">
        <v>1397</v>
      </c>
      <c r="S226" s="3">
        <v>1760</v>
      </c>
      <c r="T226" s="3">
        <v>0</v>
      </c>
      <c r="U226" s="3">
        <v>0</v>
      </c>
      <c r="V226" s="3">
        <v>0</v>
      </c>
      <c r="W226" s="10">
        <v>429</v>
      </c>
      <c r="X226" s="3">
        <v>0</v>
      </c>
      <c r="Y226" s="3">
        <v>0</v>
      </c>
      <c r="Z226" s="9">
        <v>0</v>
      </c>
      <c r="AA226" s="9">
        <v>0</v>
      </c>
      <c r="AB226" s="5">
        <v>0</v>
      </c>
      <c r="AC226" s="3">
        <v>11614</v>
      </c>
      <c r="AD226" s="13">
        <f t="shared" si="22"/>
        <v>6937</v>
      </c>
      <c r="AE226" s="13">
        <f t="shared" si="23"/>
        <v>11614</v>
      </c>
      <c r="AF226" s="13">
        <f t="shared" si="24"/>
        <v>429</v>
      </c>
      <c r="AG226" s="13">
        <f t="shared" si="25"/>
        <v>98301</v>
      </c>
      <c r="AH226" s="13">
        <f t="shared" si="26"/>
        <v>126961</v>
      </c>
      <c r="AI226" s="13">
        <f t="shared" si="27"/>
        <v>3250</v>
      </c>
    </row>
    <row r="227" spans="1:35" x14ac:dyDescent="0.25">
      <c r="A227" s="6" t="s">
        <v>65</v>
      </c>
      <c r="B227" s="2">
        <v>17</v>
      </c>
      <c r="C227" s="2" t="s">
        <v>82</v>
      </c>
      <c r="D227" s="3">
        <v>0</v>
      </c>
      <c r="E227" s="3">
        <v>2671</v>
      </c>
      <c r="F227" s="3">
        <v>0</v>
      </c>
      <c r="G227" s="3">
        <v>1626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10">
        <v>0</v>
      </c>
      <c r="N227" s="9">
        <v>0</v>
      </c>
      <c r="O227" s="3">
        <v>0</v>
      </c>
      <c r="P227" s="9">
        <v>0</v>
      </c>
      <c r="Q227" s="3">
        <v>0</v>
      </c>
      <c r="R227" s="5">
        <v>828</v>
      </c>
      <c r="S227" s="3">
        <v>762</v>
      </c>
      <c r="T227" s="3">
        <v>0</v>
      </c>
      <c r="U227" s="3">
        <v>0</v>
      </c>
      <c r="V227" s="3">
        <v>0</v>
      </c>
      <c r="W227" s="10">
        <v>127</v>
      </c>
      <c r="X227" s="3">
        <v>0</v>
      </c>
      <c r="Y227" s="3">
        <v>0</v>
      </c>
      <c r="Z227" s="9">
        <v>0</v>
      </c>
      <c r="AA227" s="9">
        <v>0</v>
      </c>
      <c r="AB227" s="5">
        <v>0</v>
      </c>
      <c r="AC227" s="3">
        <v>7368</v>
      </c>
      <c r="AD227" s="13">
        <f t="shared" si="22"/>
        <v>5887</v>
      </c>
      <c r="AE227" s="13">
        <f t="shared" si="23"/>
        <v>7368</v>
      </c>
      <c r="AF227" s="13">
        <f t="shared" si="24"/>
        <v>127</v>
      </c>
      <c r="AG227" s="13">
        <f t="shared" si="25"/>
        <v>104188</v>
      </c>
      <c r="AH227" s="13">
        <f t="shared" si="26"/>
        <v>134329</v>
      </c>
      <c r="AI227" s="13">
        <f t="shared" si="27"/>
        <v>3377</v>
      </c>
    </row>
    <row r="228" spans="1:35" x14ac:dyDescent="0.25">
      <c r="A228" s="6" t="s">
        <v>65</v>
      </c>
      <c r="B228" s="2">
        <v>18</v>
      </c>
      <c r="C228" s="2" t="s">
        <v>83</v>
      </c>
      <c r="D228" s="3">
        <v>0</v>
      </c>
      <c r="E228" s="3">
        <v>2844</v>
      </c>
      <c r="F228" s="3">
        <v>0</v>
      </c>
      <c r="G228" s="3">
        <v>1834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10">
        <v>0</v>
      </c>
      <c r="N228" s="9">
        <v>0</v>
      </c>
      <c r="O228" s="3">
        <v>0</v>
      </c>
      <c r="P228" s="9">
        <v>0</v>
      </c>
      <c r="Q228" s="3">
        <v>0</v>
      </c>
      <c r="R228" s="5">
        <v>1040</v>
      </c>
      <c r="S228" s="3">
        <v>1044</v>
      </c>
      <c r="T228" s="3">
        <v>0</v>
      </c>
      <c r="U228" s="3">
        <v>0</v>
      </c>
      <c r="V228" s="3">
        <v>0</v>
      </c>
      <c r="W228" s="10">
        <v>0</v>
      </c>
      <c r="X228" s="3">
        <v>0</v>
      </c>
      <c r="Y228" s="3">
        <v>0</v>
      </c>
      <c r="Z228" s="9">
        <v>0</v>
      </c>
      <c r="AA228" s="9">
        <v>0</v>
      </c>
      <c r="AB228" s="5">
        <v>0</v>
      </c>
      <c r="AC228" s="3">
        <v>10447</v>
      </c>
      <c r="AD228" s="13">
        <f t="shared" si="22"/>
        <v>6762</v>
      </c>
      <c r="AE228" s="13">
        <f t="shared" si="23"/>
        <v>10447</v>
      </c>
      <c r="AF228" s="13">
        <f t="shared" si="24"/>
        <v>0</v>
      </c>
      <c r="AG228" s="13">
        <f t="shared" si="25"/>
        <v>110950</v>
      </c>
      <c r="AH228" s="13">
        <f t="shared" si="26"/>
        <v>144776</v>
      </c>
      <c r="AI228" s="13">
        <f t="shared" si="27"/>
        <v>3377</v>
      </c>
    </row>
    <row r="229" spans="1:35" x14ac:dyDescent="0.25">
      <c r="A229" s="6" t="s">
        <v>65</v>
      </c>
      <c r="B229" s="2">
        <v>19</v>
      </c>
      <c r="C229" s="2" t="s">
        <v>84</v>
      </c>
      <c r="D229" s="3">
        <v>0</v>
      </c>
      <c r="E229" s="3">
        <v>1837</v>
      </c>
      <c r="F229" s="3">
        <v>0</v>
      </c>
      <c r="G229" s="3">
        <v>1802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10">
        <v>0</v>
      </c>
      <c r="N229" s="9">
        <v>0</v>
      </c>
      <c r="O229" s="3">
        <v>0</v>
      </c>
      <c r="P229" s="9">
        <v>0</v>
      </c>
      <c r="Q229" s="3">
        <v>0</v>
      </c>
      <c r="R229" s="5">
        <v>1018</v>
      </c>
      <c r="S229" s="3">
        <v>960</v>
      </c>
      <c r="T229" s="3">
        <v>0</v>
      </c>
      <c r="U229" s="3">
        <v>0</v>
      </c>
      <c r="V229" s="3">
        <v>0</v>
      </c>
      <c r="W229" s="10">
        <v>127</v>
      </c>
      <c r="X229" s="3">
        <v>0</v>
      </c>
      <c r="Y229" s="3">
        <v>0</v>
      </c>
      <c r="Z229" s="9">
        <v>0</v>
      </c>
      <c r="AA229" s="9">
        <v>0</v>
      </c>
      <c r="AB229" s="5">
        <v>0</v>
      </c>
      <c r="AC229" s="3">
        <v>8737</v>
      </c>
      <c r="AD229" s="13">
        <f t="shared" si="22"/>
        <v>5617</v>
      </c>
      <c r="AE229" s="13">
        <f t="shared" si="23"/>
        <v>8737</v>
      </c>
      <c r="AF229" s="13">
        <f t="shared" si="24"/>
        <v>127</v>
      </c>
      <c r="AG229" s="13">
        <f t="shared" si="25"/>
        <v>116567</v>
      </c>
      <c r="AH229" s="13">
        <f t="shared" si="26"/>
        <v>153513</v>
      </c>
      <c r="AI229" s="13">
        <f t="shared" si="27"/>
        <v>3504</v>
      </c>
    </row>
    <row r="230" spans="1:35" x14ac:dyDescent="0.25">
      <c r="A230" s="6" t="s">
        <v>65</v>
      </c>
      <c r="B230" s="2">
        <v>20</v>
      </c>
      <c r="C230" s="2" t="s">
        <v>85</v>
      </c>
      <c r="D230" s="3">
        <v>0</v>
      </c>
      <c r="E230" s="3">
        <v>1274</v>
      </c>
      <c r="F230" s="3">
        <v>0</v>
      </c>
      <c r="G230" s="3">
        <v>1272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10">
        <v>0</v>
      </c>
      <c r="N230" s="9">
        <v>0</v>
      </c>
      <c r="O230" s="3">
        <v>0</v>
      </c>
      <c r="P230" s="9">
        <v>0</v>
      </c>
      <c r="Q230" s="3">
        <v>0</v>
      </c>
      <c r="R230" s="5">
        <v>1587</v>
      </c>
      <c r="S230" s="3">
        <v>1757</v>
      </c>
      <c r="T230" s="3">
        <v>0</v>
      </c>
      <c r="U230" s="3">
        <v>0</v>
      </c>
      <c r="V230" s="3">
        <v>0</v>
      </c>
      <c r="W230" s="10">
        <v>569</v>
      </c>
      <c r="X230" s="3">
        <v>0</v>
      </c>
      <c r="Y230" s="3">
        <v>0</v>
      </c>
      <c r="Z230" s="9">
        <v>0</v>
      </c>
      <c r="AA230" s="9">
        <v>0</v>
      </c>
      <c r="AB230" s="5">
        <v>0</v>
      </c>
      <c r="AC230" s="3">
        <v>8365</v>
      </c>
      <c r="AD230" s="13">
        <f t="shared" si="22"/>
        <v>5890</v>
      </c>
      <c r="AE230" s="13">
        <f t="shared" si="23"/>
        <v>8365</v>
      </c>
      <c r="AF230" s="13">
        <f t="shared" si="24"/>
        <v>569</v>
      </c>
      <c r="AG230" s="13">
        <f t="shared" si="25"/>
        <v>122457</v>
      </c>
      <c r="AH230" s="13">
        <f t="shared" si="26"/>
        <v>161878</v>
      </c>
      <c r="AI230" s="13">
        <f t="shared" si="27"/>
        <v>4073</v>
      </c>
    </row>
    <row r="231" spans="1:35" x14ac:dyDescent="0.25">
      <c r="A231" s="6" t="s">
        <v>65</v>
      </c>
      <c r="B231" s="2">
        <v>21</v>
      </c>
      <c r="C231" s="2" t="s">
        <v>86</v>
      </c>
      <c r="D231" s="3">
        <v>0</v>
      </c>
      <c r="E231" s="3">
        <v>2109</v>
      </c>
      <c r="F231" s="3">
        <v>0</v>
      </c>
      <c r="G231" s="3">
        <v>1630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10">
        <v>0</v>
      </c>
      <c r="N231" s="9">
        <v>0</v>
      </c>
      <c r="O231" s="3">
        <v>0</v>
      </c>
      <c r="P231" s="9">
        <v>0</v>
      </c>
      <c r="Q231" s="3">
        <v>0</v>
      </c>
      <c r="R231" s="5">
        <v>583</v>
      </c>
      <c r="S231" s="3">
        <v>959</v>
      </c>
      <c r="T231" s="3">
        <v>0</v>
      </c>
      <c r="U231" s="3">
        <v>0</v>
      </c>
      <c r="V231" s="3">
        <v>0</v>
      </c>
      <c r="W231" s="10">
        <v>437</v>
      </c>
      <c r="X231" s="3">
        <v>0</v>
      </c>
      <c r="Y231" s="3">
        <v>0</v>
      </c>
      <c r="Z231" s="9">
        <v>0</v>
      </c>
      <c r="AA231" s="9">
        <v>0</v>
      </c>
      <c r="AB231" s="5">
        <v>0</v>
      </c>
      <c r="AC231" s="3">
        <v>8575</v>
      </c>
      <c r="AD231" s="13">
        <f t="shared" si="22"/>
        <v>5281</v>
      </c>
      <c r="AE231" s="13">
        <f t="shared" si="23"/>
        <v>8575</v>
      </c>
      <c r="AF231" s="13">
        <f t="shared" si="24"/>
        <v>437</v>
      </c>
      <c r="AG231" s="13">
        <f t="shared" si="25"/>
        <v>127738</v>
      </c>
      <c r="AH231" s="13">
        <f t="shared" si="26"/>
        <v>170453</v>
      </c>
      <c r="AI231" s="13">
        <f t="shared" si="27"/>
        <v>4510</v>
      </c>
    </row>
    <row r="232" spans="1:35" x14ac:dyDescent="0.25">
      <c r="A232" s="6" t="s">
        <v>65</v>
      </c>
      <c r="B232" s="2">
        <v>22</v>
      </c>
      <c r="C232" s="2" t="s">
        <v>87</v>
      </c>
      <c r="D232" s="3">
        <v>0</v>
      </c>
      <c r="E232" s="3">
        <v>2632</v>
      </c>
      <c r="F232" s="3">
        <v>0</v>
      </c>
      <c r="G232" s="3">
        <v>2339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10">
        <v>0</v>
      </c>
      <c r="N232" s="9">
        <v>0</v>
      </c>
      <c r="O232" s="3">
        <v>0</v>
      </c>
      <c r="P232" s="9">
        <v>0</v>
      </c>
      <c r="Q232" s="3">
        <v>0</v>
      </c>
      <c r="R232" s="5">
        <v>316</v>
      </c>
      <c r="S232" s="3">
        <v>2453</v>
      </c>
      <c r="T232" s="3">
        <v>0</v>
      </c>
      <c r="U232" s="3">
        <v>0</v>
      </c>
      <c r="V232" s="3">
        <v>0</v>
      </c>
      <c r="W232" s="10">
        <v>0</v>
      </c>
      <c r="X232" s="3">
        <v>0</v>
      </c>
      <c r="Y232" s="3">
        <v>0</v>
      </c>
      <c r="Z232" s="9">
        <v>0</v>
      </c>
      <c r="AA232" s="9">
        <v>0</v>
      </c>
      <c r="AB232" s="5">
        <v>0</v>
      </c>
      <c r="AC232" s="3">
        <v>9434</v>
      </c>
      <c r="AD232" s="13">
        <f t="shared" si="22"/>
        <v>7740</v>
      </c>
      <c r="AE232" s="13">
        <f t="shared" si="23"/>
        <v>9434</v>
      </c>
      <c r="AF232" s="13">
        <f t="shared" si="24"/>
        <v>0</v>
      </c>
      <c r="AG232" s="13">
        <f t="shared" si="25"/>
        <v>135478</v>
      </c>
      <c r="AH232" s="13">
        <f t="shared" si="26"/>
        <v>179887</v>
      </c>
      <c r="AI232" s="13">
        <f t="shared" si="27"/>
        <v>4510</v>
      </c>
    </row>
    <row r="233" spans="1:35" x14ac:dyDescent="0.25">
      <c r="A233" s="6" t="s">
        <v>65</v>
      </c>
      <c r="B233" s="2">
        <v>23</v>
      </c>
      <c r="C233" s="2" t="s">
        <v>88</v>
      </c>
      <c r="D233" s="3">
        <v>0</v>
      </c>
      <c r="E233" s="3">
        <v>2259</v>
      </c>
      <c r="F233" s="3">
        <v>0</v>
      </c>
      <c r="G233" s="3">
        <v>1478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10">
        <v>0</v>
      </c>
      <c r="N233" s="9">
        <v>0</v>
      </c>
      <c r="O233" s="3">
        <v>0</v>
      </c>
      <c r="P233" s="9">
        <v>0</v>
      </c>
      <c r="Q233" s="3">
        <v>0</v>
      </c>
      <c r="R233" s="5">
        <v>673</v>
      </c>
      <c r="S233" s="3">
        <v>1372</v>
      </c>
      <c r="T233" s="3">
        <v>0</v>
      </c>
      <c r="U233" s="3">
        <v>0</v>
      </c>
      <c r="V233" s="3">
        <v>0</v>
      </c>
      <c r="W233" s="10">
        <v>0</v>
      </c>
      <c r="X233" s="3">
        <v>0</v>
      </c>
      <c r="Y233" s="3">
        <v>0</v>
      </c>
      <c r="Z233" s="9">
        <v>0</v>
      </c>
      <c r="AA233" s="9">
        <v>0</v>
      </c>
      <c r="AB233" s="5">
        <v>0</v>
      </c>
      <c r="AC233" s="3">
        <v>8198</v>
      </c>
      <c r="AD233" s="13">
        <f t="shared" si="22"/>
        <v>5782</v>
      </c>
      <c r="AE233" s="13">
        <f t="shared" si="23"/>
        <v>8198</v>
      </c>
      <c r="AF233" s="13">
        <f t="shared" si="24"/>
        <v>0</v>
      </c>
      <c r="AG233" s="13">
        <f t="shared" si="25"/>
        <v>141260</v>
      </c>
      <c r="AH233" s="13">
        <f t="shared" si="26"/>
        <v>188085</v>
      </c>
      <c r="AI233" s="13">
        <f t="shared" si="27"/>
        <v>4510</v>
      </c>
    </row>
    <row r="234" spans="1:35" x14ac:dyDescent="0.25">
      <c r="A234" s="6" t="s">
        <v>65</v>
      </c>
      <c r="B234" s="2">
        <v>24</v>
      </c>
      <c r="C234" s="2" t="s">
        <v>89</v>
      </c>
      <c r="D234" s="3">
        <v>0</v>
      </c>
      <c r="E234" s="3">
        <v>2185</v>
      </c>
      <c r="F234" s="3">
        <v>0</v>
      </c>
      <c r="G234" s="3">
        <v>1589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10">
        <v>0</v>
      </c>
      <c r="N234" s="9">
        <v>0</v>
      </c>
      <c r="O234" s="3">
        <v>0</v>
      </c>
      <c r="P234" s="9">
        <v>0</v>
      </c>
      <c r="Q234" s="3">
        <v>0</v>
      </c>
      <c r="R234" s="5">
        <v>1298</v>
      </c>
      <c r="S234" s="3">
        <v>926</v>
      </c>
      <c r="T234" s="3">
        <v>0</v>
      </c>
      <c r="U234" s="3">
        <v>0</v>
      </c>
      <c r="V234" s="3">
        <v>0</v>
      </c>
      <c r="W234" s="10">
        <v>0</v>
      </c>
      <c r="X234" s="3">
        <v>0</v>
      </c>
      <c r="Y234" s="3">
        <v>0</v>
      </c>
      <c r="Z234" s="9">
        <v>0</v>
      </c>
      <c r="AA234" s="9">
        <v>0</v>
      </c>
      <c r="AB234" s="5">
        <v>0</v>
      </c>
      <c r="AC234" s="3">
        <v>11381</v>
      </c>
      <c r="AD234" s="13">
        <f t="shared" si="22"/>
        <v>5998</v>
      </c>
      <c r="AE234" s="13">
        <f t="shared" si="23"/>
        <v>11381</v>
      </c>
      <c r="AF234" s="13">
        <f t="shared" si="24"/>
        <v>0</v>
      </c>
      <c r="AG234" s="13">
        <f t="shared" si="25"/>
        <v>147258</v>
      </c>
      <c r="AH234" s="13">
        <f t="shared" si="26"/>
        <v>199466</v>
      </c>
      <c r="AI234" s="13">
        <f t="shared" si="27"/>
        <v>4510</v>
      </c>
    </row>
    <row r="235" spans="1:35" x14ac:dyDescent="0.25">
      <c r="A235" s="6" t="s">
        <v>65</v>
      </c>
      <c r="B235" s="2">
        <v>25</v>
      </c>
      <c r="C235" s="2" t="s">
        <v>90</v>
      </c>
      <c r="D235" s="3">
        <v>0</v>
      </c>
      <c r="E235" s="3">
        <v>1753</v>
      </c>
      <c r="F235" s="3">
        <v>0</v>
      </c>
      <c r="G235" s="3">
        <v>1766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10">
        <v>0</v>
      </c>
      <c r="N235" s="9">
        <v>0</v>
      </c>
      <c r="O235" s="3">
        <v>0</v>
      </c>
      <c r="P235" s="9">
        <v>0</v>
      </c>
      <c r="Q235" s="3">
        <v>0</v>
      </c>
      <c r="R235" s="5">
        <v>1974</v>
      </c>
      <c r="S235" s="3">
        <v>1165</v>
      </c>
      <c r="T235" s="3">
        <v>0</v>
      </c>
      <c r="U235" s="3">
        <v>0</v>
      </c>
      <c r="V235" s="3">
        <v>0</v>
      </c>
      <c r="W235" s="10">
        <v>0</v>
      </c>
      <c r="X235" s="3">
        <v>0</v>
      </c>
      <c r="Y235" s="3">
        <v>0</v>
      </c>
      <c r="Z235" s="9">
        <v>0</v>
      </c>
      <c r="AA235" s="9">
        <v>0</v>
      </c>
      <c r="AB235" s="5">
        <v>0</v>
      </c>
      <c r="AC235" s="3">
        <v>9761</v>
      </c>
      <c r="AD235" s="13">
        <f t="shared" si="22"/>
        <v>6658</v>
      </c>
      <c r="AE235" s="13">
        <f t="shared" si="23"/>
        <v>9761</v>
      </c>
      <c r="AF235" s="13">
        <f t="shared" si="24"/>
        <v>0</v>
      </c>
      <c r="AG235" s="13">
        <f t="shared" si="25"/>
        <v>153916</v>
      </c>
      <c r="AH235" s="13">
        <f t="shared" si="26"/>
        <v>209227</v>
      </c>
      <c r="AI235" s="13">
        <f t="shared" si="27"/>
        <v>4510</v>
      </c>
    </row>
    <row r="236" spans="1:35" x14ac:dyDescent="0.25">
      <c r="A236" s="6" t="s">
        <v>65</v>
      </c>
      <c r="B236" s="2">
        <v>26</v>
      </c>
      <c r="C236" s="2" t="s">
        <v>91</v>
      </c>
      <c r="D236" s="3">
        <v>0</v>
      </c>
      <c r="E236" s="3">
        <v>2933</v>
      </c>
      <c r="F236" s="3">
        <v>0</v>
      </c>
      <c r="G236" s="3">
        <v>2514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10">
        <v>0</v>
      </c>
      <c r="N236" s="9">
        <v>0</v>
      </c>
      <c r="O236" s="3">
        <v>0</v>
      </c>
      <c r="P236" s="9">
        <v>0</v>
      </c>
      <c r="Q236" s="3">
        <v>0</v>
      </c>
      <c r="R236" s="5">
        <v>2201</v>
      </c>
      <c r="S236" s="3">
        <v>2476</v>
      </c>
      <c r="T236" s="3">
        <v>0</v>
      </c>
      <c r="U236" s="3">
        <v>0</v>
      </c>
      <c r="V236" s="3">
        <v>0</v>
      </c>
      <c r="W236" s="10">
        <v>0</v>
      </c>
      <c r="X236" s="3">
        <v>0</v>
      </c>
      <c r="Y236" s="3">
        <v>0</v>
      </c>
      <c r="Z236" s="9">
        <v>0</v>
      </c>
      <c r="AA236" s="9">
        <v>0</v>
      </c>
      <c r="AB236" s="5">
        <v>0</v>
      </c>
      <c r="AC236" s="3">
        <v>9867</v>
      </c>
      <c r="AD236" s="13">
        <f t="shared" si="22"/>
        <v>10124</v>
      </c>
      <c r="AE236" s="13">
        <f t="shared" si="23"/>
        <v>9867</v>
      </c>
      <c r="AF236" s="13">
        <f t="shared" si="24"/>
        <v>0</v>
      </c>
      <c r="AG236" s="13">
        <f t="shared" si="25"/>
        <v>164040</v>
      </c>
      <c r="AH236" s="13">
        <f t="shared" si="26"/>
        <v>219094</v>
      </c>
      <c r="AI236" s="13">
        <f t="shared" si="27"/>
        <v>4510</v>
      </c>
    </row>
    <row r="237" spans="1:35" x14ac:dyDescent="0.25">
      <c r="A237" s="6" t="s">
        <v>65</v>
      </c>
      <c r="B237" s="2">
        <v>27</v>
      </c>
      <c r="C237" s="2" t="s">
        <v>92</v>
      </c>
      <c r="D237" s="3">
        <v>0</v>
      </c>
      <c r="E237" s="3">
        <v>2227</v>
      </c>
      <c r="F237" s="3">
        <v>0</v>
      </c>
      <c r="G237" s="3">
        <v>1622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10">
        <v>0</v>
      </c>
      <c r="N237" s="9">
        <v>0</v>
      </c>
      <c r="O237" s="3">
        <v>0</v>
      </c>
      <c r="P237" s="9">
        <v>0</v>
      </c>
      <c r="Q237" s="3">
        <v>0</v>
      </c>
      <c r="R237" s="5">
        <v>1725</v>
      </c>
      <c r="S237" s="3">
        <v>1601</v>
      </c>
      <c r="T237" s="3">
        <v>0</v>
      </c>
      <c r="U237" s="3">
        <v>0</v>
      </c>
      <c r="V237" s="3">
        <v>0</v>
      </c>
      <c r="W237" s="10">
        <v>0</v>
      </c>
      <c r="X237" s="3">
        <v>0</v>
      </c>
      <c r="Y237" s="3">
        <v>0</v>
      </c>
      <c r="Z237" s="9">
        <v>0</v>
      </c>
      <c r="AA237" s="9">
        <v>0</v>
      </c>
      <c r="AB237" s="5">
        <v>0</v>
      </c>
      <c r="AC237" s="3">
        <v>6205</v>
      </c>
      <c r="AD237" s="13">
        <f t="shared" si="22"/>
        <v>7175</v>
      </c>
      <c r="AE237" s="13">
        <f t="shared" si="23"/>
        <v>6205</v>
      </c>
      <c r="AF237" s="13">
        <f t="shared" si="24"/>
        <v>0</v>
      </c>
      <c r="AG237" s="13">
        <f t="shared" si="25"/>
        <v>171215</v>
      </c>
      <c r="AH237" s="13">
        <f t="shared" si="26"/>
        <v>225299</v>
      </c>
      <c r="AI237" s="13">
        <f t="shared" si="27"/>
        <v>4510</v>
      </c>
    </row>
    <row r="238" spans="1:35" x14ac:dyDescent="0.25">
      <c r="A238" s="6" t="s">
        <v>65</v>
      </c>
      <c r="B238" s="2">
        <v>28</v>
      </c>
      <c r="C238" s="2" t="s">
        <v>93</v>
      </c>
      <c r="D238" s="3">
        <v>0</v>
      </c>
      <c r="E238" s="3">
        <v>2211</v>
      </c>
      <c r="F238" s="3">
        <v>0</v>
      </c>
      <c r="G238" s="3">
        <v>1907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10">
        <v>0</v>
      </c>
      <c r="N238" s="9">
        <v>0</v>
      </c>
      <c r="O238" s="3">
        <v>0</v>
      </c>
      <c r="P238" s="9">
        <v>0</v>
      </c>
      <c r="Q238" s="3">
        <v>0</v>
      </c>
      <c r="R238" s="5">
        <v>418</v>
      </c>
      <c r="S238" s="3">
        <v>1135</v>
      </c>
      <c r="T238" s="3">
        <v>0</v>
      </c>
      <c r="U238" s="3">
        <v>0</v>
      </c>
      <c r="V238" s="3">
        <v>0</v>
      </c>
      <c r="W238" s="10">
        <v>0</v>
      </c>
      <c r="X238" s="3">
        <v>0</v>
      </c>
      <c r="Y238" s="3">
        <v>0</v>
      </c>
      <c r="Z238" s="9">
        <v>0</v>
      </c>
      <c r="AA238" s="9">
        <v>0</v>
      </c>
      <c r="AB238" s="5">
        <v>0</v>
      </c>
      <c r="AC238" s="3">
        <v>9363</v>
      </c>
      <c r="AD238" s="13">
        <f t="shared" si="22"/>
        <v>5671</v>
      </c>
      <c r="AE238" s="13">
        <f t="shared" si="23"/>
        <v>9363</v>
      </c>
      <c r="AF238" s="13">
        <f t="shared" si="24"/>
        <v>0</v>
      </c>
      <c r="AG238" s="13">
        <f t="shared" si="25"/>
        <v>176886</v>
      </c>
      <c r="AH238" s="13">
        <f t="shared" si="26"/>
        <v>234662</v>
      </c>
      <c r="AI238" s="13">
        <f t="shared" si="27"/>
        <v>4510</v>
      </c>
    </row>
    <row r="239" spans="1:35" x14ac:dyDescent="0.25">
      <c r="A239" s="6" t="s">
        <v>65</v>
      </c>
      <c r="B239" s="2">
        <v>29</v>
      </c>
      <c r="C239" s="2" t="s">
        <v>94</v>
      </c>
      <c r="D239" s="3">
        <v>0</v>
      </c>
      <c r="E239" s="3">
        <v>2308</v>
      </c>
      <c r="F239" s="3">
        <v>0</v>
      </c>
      <c r="G239" s="3">
        <v>1545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10">
        <v>0</v>
      </c>
      <c r="N239" s="9">
        <v>0</v>
      </c>
      <c r="O239" s="3">
        <v>0</v>
      </c>
      <c r="P239" s="9">
        <v>0</v>
      </c>
      <c r="Q239" s="3">
        <v>0</v>
      </c>
      <c r="R239" s="5">
        <v>2032</v>
      </c>
      <c r="S239" s="3">
        <v>1460</v>
      </c>
      <c r="T239" s="3">
        <v>0</v>
      </c>
      <c r="U239" s="3">
        <v>0</v>
      </c>
      <c r="V239" s="3">
        <v>0</v>
      </c>
      <c r="W239" s="10">
        <v>0</v>
      </c>
      <c r="X239" s="3">
        <v>0</v>
      </c>
      <c r="Y239" s="3">
        <v>0</v>
      </c>
      <c r="Z239" s="9">
        <v>0</v>
      </c>
      <c r="AA239" s="9">
        <v>0</v>
      </c>
      <c r="AB239" s="5">
        <v>0</v>
      </c>
      <c r="AC239" s="3">
        <v>8932</v>
      </c>
      <c r="AD239" s="13">
        <f t="shared" si="22"/>
        <v>7345</v>
      </c>
      <c r="AE239" s="13">
        <f t="shared" si="23"/>
        <v>8932</v>
      </c>
      <c r="AF239" s="13">
        <f t="shared" si="24"/>
        <v>0</v>
      </c>
      <c r="AG239" s="13">
        <f t="shared" si="25"/>
        <v>184231</v>
      </c>
      <c r="AH239" s="13">
        <f t="shared" si="26"/>
        <v>243594</v>
      </c>
      <c r="AI239" s="13">
        <f t="shared" si="27"/>
        <v>4510</v>
      </c>
    </row>
    <row r="240" spans="1:35" x14ac:dyDescent="0.25">
      <c r="A240" s="6" t="s">
        <v>65</v>
      </c>
      <c r="B240" s="2">
        <v>30</v>
      </c>
      <c r="C240" s="2" t="s">
        <v>95</v>
      </c>
      <c r="D240" s="3">
        <v>0</v>
      </c>
      <c r="E240" s="3">
        <v>1820</v>
      </c>
      <c r="F240" s="3">
        <v>0</v>
      </c>
      <c r="G240" s="3">
        <v>2188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10">
        <v>0</v>
      </c>
      <c r="N240" s="9">
        <v>0</v>
      </c>
      <c r="O240" s="3">
        <v>0</v>
      </c>
      <c r="P240" s="9">
        <v>0</v>
      </c>
      <c r="Q240" s="3">
        <v>0</v>
      </c>
      <c r="R240" s="5">
        <v>4139</v>
      </c>
      <c r="S240" s="3">
        <v>1506</v>
      </c>
      <c r="T240" s="3">
        <v>0</v>
      </c>
      <c r="U240" s="3">
        <v>0</v>
      </c>
      <c r="V240" s="3">
        <v>0</v>
      </c>
      <c r="W240" s="10">
        <v>0</v>
      </c>
      <c r="X240" s="3">
        <v>0</v>
      </c>
      <c r="Y240" s="3">
        <v>0</v>
      </c>
      <c r="Z240" s="9">
        <v>0</v>
      </c>
      <c r="AA240" s="9">
        <v>0</v>
      </c>
      <c r="AB240" s="5">
        <v>0</v>
      </c>
      <c r="AC240" s="3">
        <v>14005</v>
      </c>
      <c r="AD240" s="13">
        <f t="shared" si="22"/>
        <v>9653</v>
      </c>
      <c r="AE240" s="13">
        <f t="shared" si="23"/>
        <v>14005</v>
      </c>
      <c r="AF240" s="13">
        <f t="shared" si="24"/>
        <v>0</v>
      </c>
      <c r="AG240" s="13">
        <f t="shared" si="25"/>
        <v>193884</v>
      </c>
      <c r="AH240" s="13">
        <f t="shared" si="26"/>
        <v>257599</v>
      </c>
      <c r="AI240" s="13">
        <f t="shared" si="27"/>
        <v>4510</v>
      </c>
    </row>
    <row r="241" spans="1:35" x14ac:dyDescent="0.25">
      <c r="A241" s="6" t="s">
        <v>65</v>
      </c>
      <c r="B241" s="2">
        <v>31</v>
      </c>
      <c r="C241" s="2" t="s">
        <v>96</v>
      </c>
      <c r="D241" s="3">
        <v>0</v>
      </c>
      <c r="E241" s="3">
        <v>2819</v>
      </c>
      <c r="F241" s="3">
        <v>0</v>
      </c>
      <c r="G241" s="3">
        <v>2301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10">
        <v>0</v>
      </c>
      <c r="N241" s="9">
        <v>0</v>
      </c>
      <c r="O241" s="3">
        <v>0</v>
      </c>
      <c r="P241" s="9">
        <v>0</v>
      </c>
      <c r="Q241" s="3">
        <v>0</v>
      </c>
      <c r="R241" s="5">
        <v>2726</v>
      </c>
      <c r="S241" s="3">
        <v>1826</v>
      </c>
      <c r="T241" s="3">
        <v>0</v>
      </c>
      <c r="U241" s="3">
        <v>0</v>
      </c>
      <c r="V241" s="3">
        <v>0</v>
      </c>
      <c r="W241" s="10">
        <v>0</v>
      </c>
      <c r="X241" s="3">
        <v>0</v>
      </c>
      <c r="Y241" s="3">
        <v>0</v>
      </c>
      <c r="Z241" s="9">
        <v>0</v>
      </c>
      <c r="AA241" s="9">
        <v>0</v>
      </c>
      <c r="AB241" s="5">
        <v>0</v>
      </c>
      <c r="AC241" s="3">
        <v>17372</v>
      </c>
      <c r="AD241" s="13">
        <f t="shared" si="22"/>
        <v>9672</v>
      </c>
      <c r="AE241" s="13">
        <f t="shared" si="23"/>
        <v>17372</v>
      </c>
      <c r="AF241" s="13">
        <f t="shared" si="24"/>
        <v>0</v>
      </c>
      <c r="AG241" s="13">
        <f t="shared" si="25"/>
        <v>203556</v>
      </c>
      <c r="AH241" s="13">
        <f t="shared" si="26"/>
        <v>274971</v>
      </c>
      <c r="AI241" s="13">
        <f t="shared" si="27"/>
        <v>4510</v>
      </c>
    </row>
    <row r="242" spans="1:35" x14ac:dyDescent="0.25">
      <c r="A242" s="6" t="s">
        <v>65</v>
      </c>
      <c r="B242" s="2">
        <v>32</v>
      </c>
      <c r="C242" s="2" t="s">
        <v>97</v>
      </c>
      <c r="D242" s="3">
        <v>0</v>
      </c>
      <c r="E242" s="3">
        <v>2531</v>
      </c>
      <c r="F242" s="3">
        <v>0</v>
      </c>
      <c r="G242" s="3">
        <v>2385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10">
        <v>0</v>
      </c>
      <c r="N242" s="9">
        <v>0</v>
      </c>
      <c r="O242" s="3">
        <v>0</v>
      </c>
      <c r="P242" s="9">
        <v>0</v>
      </c>
      <c r="Q242" s="3">
        <v>0</v>
      </c>
      <c r="R242" s="5">
        <v>2518</v>
      </c>
      <c r="S242" s="3">
        <v>1054</v>
      </c>
      <c r="T242" s="3">
        <v>0</v>
      </c>
      <c r="U242" s="3">
        <v>0</v>
      </c>
      <c r="V242" s="3">
        <v>0</v>
      </c>
      <c r="W242" s="10">
        <v>0</v>
      </c>
      <c r="X242" s="3">
        <v>0</v>
      </c>
      <c r="Y242" s="3">
        <v>0</v>
      </c>
      <c r="Z242" s="9">
        <v>0</v>
      </c>
      <c r="AA242" s="9">
        <v>0</v>
      </c>
      <c r="AB242" s="5">
        <v>0</v>
      </c>
      <c r="AC242" s="3">
        <v>13914</v>
      </c>
      <c r="AD242" s="13">
        <f t="shared" si="22"/>
        <v>8488</v>
      </c>
      <c r="AE242" s="13">
        <f t="shared" si="23"/>
        <v>13914</v>
      </c>
      <c r="AF242" s="13">
        <f t="shared" si="24"/>
        <v>0</v>
      </c>
      <c r="AG242" s="13">
        <f t="shared" si="25"/>
        <v>212044</v>
      </c>
      <c r="AH242" s="13">
        <f t="shared" si="26"/>
        <v>288885</v>
      </c>
      <c r="AI242" s="13">
        <f t="shared" si="27"/>
        <v>4510</v>
      </c>
    </row>
    <row r="243" spans="1:35" x14ac:dyDescent="0.25">
      <c r="A243" s="6" t="s">
        <v>65</v>
      </c>
      <c r="B243" s="2">
        <v>33</v>
      </c>
      <c r="C243" s="2" t="s">
        <v>98</v>
      </c>
      <c r="D243" s="3">
        <v>0</v>
      </c>
      <c r="E243" s="3">
        <v>1564</v>
      </c>
      <c r="F243" s="3">
        <v>0</v>
      </c>
      <c r="G243" s="3">
        <v>1966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10">
        <v>0</v>
      </c>
      <c r="N243" s="9">
        <v>0</v>
      </c>
      <c r="O243" s="3">
        <v>0</v>
      </c>
      <c r="P243" s="9">
        <v>0</v>
      </c>
      <c r="Q243" s="3">
        <v>0</v>
      </c>
      <c r="R243" s="5">
        <v>271</v>
      </c>
      <c r="S243" s="3">
        <v>1212</v>
      </c>
      <c r="T243" s="3">
        <v>0</v>
      </c>
      <c r="U243" s="3">
        <v>0</v>
      </c>
      <c r="V243" s="3">
        <v>0</v>
      </c>
      <c r="W243" s="10">
        <v>0</v>
      </c>
      <c r="X243" s="3">
        <v>0</v>
      </c>
      <c r="Y243" s="3">
        <v>0</v>
      </c>
      <c r="Z243" s="9">
        <v>0</v>
      </c>
      <c r="AA243" s="9">
        <v>0</v>
      </c>
      <c r="AB243" s="5">
        <v>0</v>
      </c>
      <c r="AC243" s="3">
        <v>13315</v>
      </c>
      <c r="AD243" s="13">
        <f t="shared" si="22"/>
        <v>5013</v>
      </c>
      <c r="AE243" s="13">
        <f t="shared" si="23"/>
        <v>13315</v>
      </c>
      <c r="AF243" s="13">
        <f t="shared" si="24"/>
        <v>0</v>
      </c>
      <c r="AG243" s="13">
        <f t="shared" si="25"/>
        <v>217057</v>
      </c>
      <c r="AH243" s="13">
        <f t="shared" si="26"/>
        <v>302200</v>
      </c>
      <c r="AI243" s="13">
        <f t="shared" si="27"/>
        <v>4510</v>
      </c>
    </row>
    <row r="244" spans="1:35" x14ac:dyDescent="0.25">
      <c r="A244" s="6" t="s">
        <v>65</v>
      </c>
      <c r="B244" s="2">
        <v>34</v>
      </c>
      <c r="C244" s="2" t="s">
        <v>99</v>
      </c>
      <c r="D244" s="3">
        <v>0</v>
      </c>
      <c r="E244" s="3">
        <v>1269</v>
      </c>
      <c r="F244" s="3">
        <v>0</v>
      </c>
      <c r="G244" s="3">
        <v>1479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10">
        <v>0</v>
      </c>
      <c r="N244" s="9">
        <v>0</v>
      </c>
      <c r="O244" s="3">
        <v>0</v>
      </c>
      <c r="P244" s="9">
        <v>0</v>
      </c>
      <c r="Q244" s="3">
        <v>0</v>
      </c>
      <c r="R244" s="5">
        <v>2253</v>
      </c>
      <c r="S244" s="3">
        <v>889</v>
      </c>
      <c r="T244" s="3">
        <v>0</v>
      </c>
      <c r="U244" s="3">
        <v>0</v>
      </c>
      <c r="V244" s="3">
        <v>0</v>
      </c>
      <c r="W244" s="10">
        <v>0</v>
      </c>
      <c r="X244" s="3">
        <v>0</v>
      </c>
      <c r="Y244" s="3">
        <v>0</v>
      </c>
      <c r="Z244" s="9">
        <v>0</v>
      </c>
      <c r="AA244" s="9">
        <v>0</v>
      </c>
      <c r="AB244" s="5">
        <v>0</v>
      </c>
      <c r="AC244" s="3">
        <v>8985</v>
      </c>
      <c r="AD244" s="13">
        <f t="shared" si="22"/>
        <v>5890</v>
      </c>
      <c r="AE244" s="13">
        <f t="shared" si="23"/>
        <v>8985</v>
      </c>
      <c r="AF244" s="13">
        <f t="shared" si="24"/>
        <v>0</v>
      </c>
      <c r="AG244" s="13">
        <f t="shared" si="25"/>
        <v>222947</v>
      </c>
      <c r="AH244" s="13">
        <f t="shared" si="26"/>
        <v>311185</v>
      </c>
      <c r="AI244" s="13">
        <f t="shared" si="27"/>
        <v>4510</v>
      </c>
    </row>
    <row r="245" spans="1:35" x14ac:dyDescent="0.25">
      <c r="A245" s="6" t="s">
        <v>65</v>
      </c>
      <c r="B245" s="2">
        <v>35</v>
      </c>
      <c r="C245" s="2" t="s">
        <v>100</v>
      </c>
      <c r="D245" s="3">
        <v>0</v>
      </c>
      <c r="E245" s="3">
        <v>2950</v>
      </c>
      <c r="F245" s="3">
        <v>0</v>
      </c>
      <c r="G245" s="3">
        <v>1125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10">
        <v>0</v>
      </c>
      <c r="N245" s="9">
        <v>0</v>
      </c>
      <c r="O245" s="3">
        <v>0</v>
      </c>
      <c r="P245" s="9">
        <v>0</v>
      </c>
      <c r="Q245" s="3">
        <v>0</v>
      </c>
      <c r="R245" s="5">
        <v>3481</v>
      </c>
      <c r="S245" s="3">
        <v>719</v>
      </c>
      <c r="T245" s="3">
        <v>0</v>
      </c>
      <c r="U245" s="3">
        <v>0</v>
      </c>
      <c r="V245" s="3">
        <v>0</v>
      </c>
      <c r="W245" s="10">
        <v>0</v>
      </c>
      <c r="X245" s="3">
        <v>0</v>
      </c>
      <c r="Y245" s="3">
        <v>0</v>
      </c>
      <c r="Z245" s="9">
        <v>0</v>
      </c>
      <c r="AA245" s="9">
        <v>0</v>
      </c>
      <c r="AB245" s="5">
        <v>0</v>
      </c>
      <c r="AC245" s="3">
        <v>6783</v>
      </c>
      <c r="AD245" s="13">
        <f t="shared" si="22"/>
        <v>8275</v>
      </c>
      <c r="AE245" s="13">
        <f t="shared" si="23"/>
        <v>6783</v>
      </c>
      <c r="AF245" s="13">
        <f t="shared" si="24"/>
        <v>0</v>
      </c>
      <c r="AG245" s="13">
        <f t="shared" si="25"/>
        <v>231222</v>
      </c>
      <c r="AH245" s="13">
        <f t="shared" si="26"/>
        <v>317968</v>
      </c>
      <c r="AI245" s="13">
        <f t="shared" si="27"/>
        <v>4510</v>
      </c>
    </row>
    <row r="246" spans="1:35" x14ac:dyDescent="0.25">
      <c r="A246" s="6" t="s">
        <v>65</v>
      </c>
      <c r="B246" s="2">
        <v>36</v>
      </c>
      <c r="C246" s="2" t="s">
        <v>101</v>
      </c>
      <c r="D246" s="3">
        <v>0</v>
      </c>
      <c r="E246" s="3">
        <v>546</v>
      </c>
      <c r="F246" s="3">
        <v>0</v>
      </c>
      <c r="G246" s="3">
        <v>1861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10">
        <v>0</v>
      </c>
      <c r="N246" s="9">
        <v>0</v>
      </c>
      <c r="O246" s="3">
        <v>0</v>
      </c>
      <c r="P246" s="9">
        <v>0</v>
      </c>
      <c r="Q246" s="3">
        <v>0</v>
      </c>
      <c r="R246" s="5">
        <v>1012</v>
      </c>
      <c r="S246" s="3">
        <v>698</v>
      </c>
      <c r="T246" s="3">
        <v>0</v>
      </c>
      <c r="U246" s="3">
        <v>0</v>
      </c>
      <c r="V246" s="3">
        <v>0</v>
      </c>
      <c r="W246" s="10">
        <v>0</v>
      </c>
      <c r="X246" s="3">
        <v>0</v>
      </c>
      <c r="Y246" s="3">
        <v>0</v>
      </c>
      <c r="Z246" s="9">
        <v>0</v>
      </c>
      <c r="AA246" s="9">
        <v>0</v>
      </c>
      <c r="AB246" s="5">
        <v>0</v>
      </c>
      <c r="AC246" s="3">
        <v>8354</v>
      </c>
      <c r="AD246" s="13">
        <f t="shared" si="22"/>
        <v>4117</v>
      </c>
      <c r="AE246" s="13">
        <f t="shared" si="23"/>
        <v>8354</v>
      </c>
      <c r="AF246" s="13">
        <f t="shared" si="24"/>
        <v>0</v>
      </c>
      <c r="AG246" s="13">
        <f t="shared" si="25"/>
        <v>235339</v>
      </c>
      <c r="AH246" s="13">
        <f t="shared" si="26"/>
        <v>326322</v>
      </c>
      <c r="AI246" s="13">
        <f t="shared" si="27"/>
        <v>4510</v>
      </c>
    </row>
    <row r="247" spans="1:35" x14ac:dyDescent="0.25">
      <c r="A247" s="6" t="s">
        <v>65</v>
      </c>
      <c r="B247" s="2">
        <v>37</v>
      </c>
      <c r="C247" s="2" t="s">
        <v>102</v>
      </c>
      <c r="D247" s="3">
        <v>0</v>
      </c>
      <c r="E247" s="3">
        <v>2791</v>
      </c>
      <c r="F247" s="3">
        <v>0</v>
      </c>
      <c r="G247" s="3">
        <v>2325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10">
        <v>0</v>
      </c>
      <c r="N247" s="9">
        <v>0</v>
      </c>
      <c r="O247" s="3">
        <v>0</v>
      </c>
      <c r="P247" s="9">
        <v>0</v>
      </c>
      <c r="Q247" s="3">
        <v>0</v>
      </c>
      <c r="R247" s="5">
        <v>2039</v>
      </c>
      <c r="S247" s="3">
        <v>702</v>
      </c>
      <c r="T247" s="3">
        <v>0</v>
      </c>
      <c r="U247" s="3">
        <v>0</v>
      </c>
      <c r="V247" s="3">
        <v>0</v>
      </c>
      <c r="W247" s="10">
        <v>0</v>
      </c>
      <c r="X247" s="3">
        <v>0</v>
      </c>
      <c r="Y247" s="3">
        <v>0</v>
      </c>
      <c r="Z247" s="9">
        <v>0</v>
      </c>
      <c r="AA247" s="9">
        <v>0</v>
      </c>
      <c r="AB247" s="5">
        <v>0</v>
      </c>
      <c r="AC247" s="3">
        <v>13470</v>
      </c>
      <c r="AD247" s="13">
        <f t="shared" si="22"/>
        <v>7857</v>
      </c>
      <c r="AE247" s="13">
        <f t="shared" si="23"/>
        <v>13470</v>
      </c>
      <c r="AF247" s="13">
        <f t="shared" si="24"/>
        <v>0</v>
      </c>
      <c r="AG247" s="13">
        <f t="shared" si="25"/>
        <v>243196</v>
      </c>
      <c r="AH247" s="13">
        <f t="shared" si="26"/>
        <v>339792</v>
      </c>
      <c r="AI247" s="13">
        <f t="shared" si="27"/>
        <v>4510</v>
      </c>
    </row>
    <row r="248" spans="1:35" x14ac:dyDescent="0.25">
      <c r="A248" s="6" t="s">
        <v>65</v>
      </c>
      <c r="B248" s="2">
        <v>38</v>
      </c>
      <c r="C248" s="2" t="s">
        <v>103</v>
      </c>
      <c r="D248" s="3">
        <v>0</v>
      </c>
      <c r="E248" s="3">
        <v>1282</v>
      </c>
      <c r="F248" s="3">
        <v>0</v>
      </c>
      <c r="G248" s="3">
        <v>1231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10">
        <v>0</v>
      </c>
      <c r="N248" s="9">
        <v>0</v>
      </c>
      <c r="O248" s="3">
        <v>0</v>
      </c>
      <c r="P248" s="9">
        <v>0</v>
      </c>
      <c r="Q248" s="3">
        <v>0</v>
      </c>
      <c r="R248" s="5">
        <v>1004</v>
      </c>
      <c r="S248" s="3">
        <v>944</v>
      </c>
      <c r="T248" s="3">
        <v>0</v>
      </c>
      <c r="U248" s="3">
        <v>0</v>
      </c>
      <c r="V248" s="3">
        <v>0</v>
      </c>
      <c r="W248" s="10">
        <v>0</v>
      </c>
      <c r="X248" s="3">
        <v>0</v>
      </c>
      <c r="Y248" s="3">
        <v>0</v>
      </c>
      <c r="Z248" s="9">
        <v>0</v>
      </c>
      <c r="AA248" s="9">
        <v>0</v>
      </c>
      <c r="AB248" s="5">
        <v>0</v>
      </c>
      <c r="AC248" s="3">
        <v>10635</v>
      </c>
      <c r="AD248" s="13">
        <f t="shared" si="22"/>
        <v>4461</v>
      </c>
      <c r="AE248" s="13">
        <f t="shared" si="23"/>
        <v>10635</v>
      </c>
      <c r="AF248" s="13">
        <f t="shared" si="24"/>
        <v>0</v>
      </c>
      <c r="AG248" s="13">
        <f t="shared" si="25"/>
        <v>247657</v>
      </c>
      <c r="AH248" s="13">
        <f t="shared" si="26"/>
        <v>350427</v>
      </c>
      <c r="AI248" s="13">
        <f t="shared" si="27"/>
        <v>4510</v>
      </c>
    </row>
    <row r="249" spans="1:35" x14ac:dyDescent="0.25">
      <c r="A249" s="6" t="s">
        <v>65</v>
      </c>
      <c r="B249" s="2">
        <v>39</v>
      </c>
      <c r="C249" s="2" t="s">
        <v>104</v>
      </c>
      <c r="D249" s="3">
        <v>0</v>
      </c>
      <c r="E249" s="3">
        <v>36</v>
      </c>
      <c r="F249" s="3">
        <v>0</v>
      </c>
      <c r="G249" s="3">
        <v>827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10">
        <v>0</v>
      </c>
      <c r="N249" s="9">
        <v>0</v>
      </c>
      <c r="O249" s="3">
        <v>0</v>
      </c>
      <c r="P249" s="9">
        <v>0</v>
      </c>
      <c r="Q249" s="3">
        <v>0</v>
      </c>
      <c r="R249" s="5">
        <v>1230</v>
      </c>
      <c r="S249" s="3">
        <v>1087</v>
      </c>
      <c r="T249" s="3">
        <v>0</v>
      </c>
      <c r="U249" s="3">
        <v>0</v>
      </c>
      <c r="V249" s="3">
        <v>0</v>
      </c>
      <c r="W249" s="10">
        <v>0</v>
      </c>
      <c r="X249" s="3">
        <v>0</v>
      </c>
      <c r="Y249" s="3">
        <v>0</v>
      </c>
      <c r="Z249" s="9">
        <v>0</v>
      </c>
      <c r="AA249" s="9">
        <v>0</v>
      </c>
      <c r="AB249" s="5">
        <v>0</v>
      </c>
      <c r="AC249" s="3">
        <v>10049</v>
      </c>
      <c r="AD249" s="13">
        <f t="shared" si="22"/>
        <v>3180</v>
      </c>
      <c r="AE249" s="13">
        <f t="shared" si="23"/>
        <v>10049</v>
      </c>
      <c r="AF249" s="13">
        <f t="shared" si="24"/>
        <v>0</v>
      </c>
      <c r="AG249" s="13">
        <f t="shared" si="25"/>
        <v>250837</v>
      </c>
      <c r="AH249" s="13">
        <f t="shared" si="26"/>
        <v>360476</v>
      </c>
      <c r="AI249" s="13">
        <f t="shared" si="27"/>
        <v>4510</v>
      </c>
    </row>
    <row r="250" spans="1:35" x14ac:dyDescent="0.25">
      <c r="A250" s="6" t="s">
        <v>65</v>
      </c>
      <c r="B250" s="2">
        <v>40</v>
      </c>
      <c r="C250" s="2" t="s">
        <v>105</v>
      </c>
      <c r="D250" s="3">
        <v>0</v>
      </c>
      <c r="E250" s="3">
        <v>3339</v>
      </c>
      <c r="F250" s="3">
        <v>0</v>
      </c>
      <c r="G250" s="3">
        <v>331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10">
        <v>0</v>
      </c>
      <c r="N250" s="9">
        <v>0</v>
      </c>
      <c r="O250" s="3">
        <v>0</v>
      </c>
      <c r="P250" s="9">
        <v>0</v>
      </c>
      <c r="Q250" s="3">
        <v>0</v>
      </c>
      <c r="R250" s="5">
        <v>3547</v>
      </c>
      <c r="S250" s="3">
        <v>1626</v>
      </c>
      <c r="T250" s="3">
        <v>0</v>
      </c>
      <c r="U250" s="3">
        <v>0</v>
      </c>
      <c r="V250" s="3">
        <v>0</v>
      </c>
      <c r="W250" s="10">
        <v>0</v>
      </c>
      <c r="X250" s="3">
        <v>0</v>
      </c>
      <c r="Y250" s="3">
        <v>0</v>
      </c>
      <c r="Z250" s="9">
        <v>0</v>
      </c>
      <c r="AA250" s="9">
        <v>0</v>
      </c>
      <c r="AB250" s="5">
        <v>0</v>
      </c>
      <c r="AC250" s="3">
        <v>5959</v>
      </c>
      <c r="AD250" s="13">
        <f t="shared" si="22"/>
        <v>8843</v>
      </c>
      <c r="AE250" s="13">
        <f t="shared" si="23"/>
        <v>5959</v>
      </c>
      <c r="AF250" s="13">
        <f t="shared" si="24"/>
        <v>0</v>
      </c>
      <c r="AG250" s="13">
        <f t="shared" si="25"/>
        <v>259680</v>
      </c>
      <c r="AH250" s="13">
        <f t="shared" si="26"/>
        <v>366435</v>
      </c>
      <c r="AI250" s="13">
        <f t="shared" si="27"/>
        <v>4510</v>
      </c>
    </row>
    <row r="251" spans="1:35" x14ac:dyDescent="0.25">
      <c r="A251" s="6" t="s">
        <v>65</v>
      </c>
      <c r="B251" s="2">
        <v>41</v>
      </c>
      <c r="C251" s="2" t="s">
        <v>106</v>
      </c>
      <c r="D251" s="3">
        <v>0</v>
      </c>
      <c r="E251" s="3">
        <v>2051</v>
      </c>
      <c r="F251" s="3">
        <v>0</v>
      </c>
      <c r="G251" s="3">
        <v>1789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10">
        <v>0</v>
      </c>
      <c r="N251" s="9">
        <v>0</v>
      </c>
      <c r="O251" s="3">
        <v>0</v>
      </c>
      <c r="P251" s="9">
        <v>0</v>
      </c>
      <c r="Q251" s="3">
        <v>0</v>
      </c>
      <c r="R251" s="5">
        <v>1287</v>
      </c>
      <c r="S251" s="3">
        <v>1278</v>
      </c>
      <c r="T251" s="3">
        <v>0</v>
      </c>
      <c r="U251" s="3">
        <v>0</v>
      </c>
      <c r="V251" s="3">
        <v>0</v>
      </c>
      <c r="W251" s="10">
        <v>0</v>
      </c>
      <c r="X251" s="3">
        <v>0</v>
      </c>
      <c r="Y251" s="3">
        <v>0</v>
      </c>
      <c r="Z251" s="9">
        <v>0</v>
      </c>
      <c r="AA251" s="9">
        <v>0</v>
      </c>
      <c r="AB251" s="5">
        <v>0</v>
      </c>
      <c r="AC251" s="3">
        <v>6242</v>
      </c>
      <c r="AD251" s="13">
        <f t="shared" si="22"/>
        <v>6405</v>
      </c>
      <c r="AE251" s="13">
        <f t="shared" si="23"/>
        <v>6242</v>
      </c>
      <c r="AF251" s="13">
        <f t="shared" si="24"/>
        <v>0</v>
      </c>
      <c r="AG251" s="13">
        <f t="shared" si="25"/>
        <v>266085</v>
      </c>
      <c r="AH251" s="13">
        <f t="shared" si="26"/>
        <v>372677</v>
      </c>
      <c r="AI251" s="13">
        <f t="shared" si="27"/>
        <v>4510</v>
      </c>
    </row>
    <row r="252" spans="1:35" x14ac:dyDescent="0.25">
      <c r="A252" s="6" t="s">
        <v>65</v>
      </c>
      <c r="B252" s="2">
        <v>42</v>
      </c>
      <c r="C252" s="2" t="s">
        <v>107</v>
      </c>
      <c r="D252" s="3">
        <v>0</v>
      </c>
      <c r="E252" s="3">
        <v>2214</v>
      </c>
      <c r="F252" s="3">
        <v>0</v>
      </c>
      <c r="G252" s="3">
        <v>1799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10">
        <v>0</v>
      </c>
      <c r="N252" s="9">
        <v>0</v>
      </c>
      <c r="O252" s="3">
        <v>0</v>
      </c>
      <c r="P252" s="9">
        <v>0</v>
      </c>
      <c r="Q252" s="3">
        <v>0</v>
      </c>
      <c r="R252" s="5">
        <v>1350</v>
      </c>
      <c r="S252" s="3">
        <v>681</v>
      </c>
      <c r="T252" s="3">
        <v>0</v>
      </c>
      <c r="U252" s="3">
        <v>0</v>
      </c>
      <c r="V252" s="3">
        <v>0</v>
      </c>
      <c r="W252" s="10">
        <v>0</v>
      </c>
      <c r="X252" s="3">
        <v>0</v>
      </c>
      <c r="Y252" s="3">
        <v>0</v>
      </c>
      <c r="Z252" s="9">
        <v>0</v>
      </c>
      <c r="AA252" s="9">
        <v>0</v>
      </c>
      <c r="AB252" s="5">
        <v>315</v>
      </c>
      <c r="AC252" s="3">
        <v>4984</v>
      </c>
      <c r="AD252" s="13">
        <f t="shared" si="22"/>
        <v>6044</v>
      </c>
      <c r="AE252" s="13">
        <f t="shared" si="23"/>
        <v>4984</v>
      </c>
      <c r="AF252" s="13">
        <f t="shared" si="24"/>
        <v>315</v>
      </c>
      <c r="AG252" s="13">
        <f t="shared" si="25"/>
        <v>272129</v>
      </c>
      <c r="AH252" s="13">
        <f t="shared" si="26"/>
        <v>377661</v>
      </c>
      <c r="AI252" s="13">
        <f t="shared" si="27"/>
        <v>4825</v>
      </c>
    </row>
    <row r="253" spans="1:35" x14ac:dyDescent="0.25">
      <c r="A253" s="6" t="s">
        <v>65</v>
      </c>
      <c r="B253" s="2">
        <v>43</v>
      </c>
      <c r="C253" s="2" t="s">
        <v>108</v>
      </c>
      <c r="D253" s="3">
        <v>0</v>
      </c>
      <c r="E253" s="3">
        <v>1162</v>
      </c>
      <c r="F253" s="3">
        <v>0</v>
      </c>
      <c r="G253" s="3">
        <v>1994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10">
        <v>0</v>
      </c>
      <c r="N253" s="9">
        <v>0</v>
      </c>
      <c r="O253" s="3">
        <v>0</v>
      </c>
      <c r="P253" s="9">
        <v>0</v>
      </c>
      <c r="Q253" s="3">
        <v>0</v>
      </c>
      <c r="R253" s="5">
        <v>1108</v>
      </c>
      <c r="S253" s="3">
        <v>1255</v>
      </c>
      <c r="T253" s="3">
        <v>0</v>
      </c>
      <c r="U253" s="3">
        <v>0</v>
      </c>
      <c r="V253" s="3">
        <v>0</v>
      </c>
      <c r="W253" s="10">
        <v>0</v>
      </c>
      <c r="X253" s="3">
        <v>0</v>
      </c>
      <c r="Y253" s="3">
        <v>0</v>
      </c>
      <c r="Z253" s="9">
        <v>0</v>
      </c>
      <c r="AA253" s="9">
        <v>0</v>
      </c>
      <c r="AB253" s="5">
        <v>553</v>
      </c>
      <c r="AC253" s="3">
        <v>5186</v>
      </c>
      <c r="AD253" s="13">
        <f t="shared" si="22"/>
        <v>5519</v>
      </c>
      <c r="AE253" s="13">
        <f t="shared" si="23"/>
        <v>5186</v>
      </c>
      <c r="AF253" s="13">
        <f t="shared" si="24"/>
        <v>553</v>
      </c>
      <c r="AG253" s="13">
        <f t="shared" si="25"/>
        <v>277648</v>
      </c>
      <c r="AH253" s="13">
        <f t="shared" si="26"/>
        <v>382847</v>
      </c>
      <c r="AI253" s="13">
        <f t="shared" si="27"/>
        <v>5378</v>
      </c>
    </row>
    <row r="254" spans="1:35" x14ac:dyDescent="0.25">
      <c r="A254" s="6" t="s">
        <v>65</v>
      </c>
      <c r="B254" s="2">
        <v>44</v>
      </c>
      <c r="C254" s="2" t="s">
        <v>109</v>
      </c>
      <c r="D254" s="3">
        <v>0</v>
      </c>
      <c r="E254" s="3">
        <v>3906</v>
      </c>
      <c r="F254" s="3">
        <v>0</v>
      </c>
      <c r="G254" s="3">
        <v>1595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10">
        <v>301</v>
      </c>
      <c r="N254" s="9">
        <v>0</v>
      </c>
      <c r="O254" s="3">
        <v>0</v>
      </c>
      <c r="P254" s="9">
        <v>0</v>
      </c>
      <c r="Q254" s="3">
        <v>0</v>
      </c>
      <c r="R254" s="5">
        <v>562</v>
      </c>
      <c r="S254" s="3">
        <v>1551</v>
      </c>
      <c r="T254" s="3">
        <v>0</v>
      </c>
      <c r="U254" s="3">
        <v>0</v>
      </c>
      <c r="V254" s="3">
        <v>0</v>
      </c>
      <c r="W254" s="10">
        <v>0</v>
      </c>
      <c r="X254" s="3">
        <v>0</v>
      </c>
      <c r="Y254" s="3">
        <v>0</v>
      </c>
      <c r="Z254" s="9">
        <v>0</v>
      </c>
      <c r="AA254" s="9">
        <v>0</v>
      </c>
      <c r="AB254" s="5">
        <v>0</v>
      </c>
      <c r="AC254" s="3">
        <v>7850</v>
      </c>
      <c r="AD254" s="13">
        <f t="shared" si="22"/>
        <v>7614</v>
      </c>
      <c r="AE254" s="13">
        <f t="shared" si="23"/>
        <v>7850</v>
      </c>
      <c r="AF254" s="13">
        <f t="shared" si="24"/>
        <v>301</v>
      </c>
      <c r="AG254" s="13">
        <f t="shared" si="25"/>
        <v>285262</v>
      </c>
      <c r="AH254" s="13">
        <f t="shared" si="26"/>
        <v>390697</v>
      </c>
      <c r="AI254" s="13">
        <f t="shared" si="27"/>
        <v>5679</v>
      </c>
    </row>
    <row r="255" spans="1:35" x14ac:dyDescent="0.25">
      <c r="A255" s="6" t="s">
        <v>65</v>
      </c>
      <c r="B255" s="2">
        <v>45</v>
      </c>
      <c r="C255" s="2" t="s">
        <v>110</v>
      </c>
      <c r="D255" s="3">
        <v>0</v>
      </c>
      <c r="E255" s="3">
        <v>2995</v>
      </c>
      <c r="F255" s="3">
        <v>0</v>
      </c>
      <c r="G255" s="3">
        <v>1603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10">
        <v>0</v>
      </c>
      <c r="N255" s="9">
        <v>0</v>
      </c>
      <c r="O255" s="3">
        <v>0</v>
      </c>
      <c r="P255" s="9">
        <v>0</v>
      </c>
      <c r="Q255" s="3">
        <v>0</v>
      </c>
      <c r="R255" s="5">
        <v>641</v>
      </c>
      <c r="S255" s="3">
        <v>1364</v>
      </c>
      <c r="T255" s="3">
        <v>0</v>
      </c>
      <c r="U255" s="3">
        <v>0</v>
      </c>
      <c r="V255" s="3">
        <v>0</v>
      </c>
      <c r="W255" s="10">
        <v>0</v>
      </c>
      <c r="X255" s="3">
        <v>0</v>
      </c>
      <c r="Y255" s="3">
        <v>0</v>
      </c>
      <c r="Z255" s="9">
        <v>0</v>
      </c>
      <c r="AA255" s="9">
        <v>0</v>
      </c>
      <c r="AB255" s="5">
        <v>0</v>
      </c>
      <c r="AC255" s="3">
        <v>7213</v>
      </c>
      <c r="AD255" s="13">
        <f t="shared" si="22"/>
        <v>6603</v>
      </c>
      <c r="AE255" s="13">
        <f t="shared" si="23"/>
        <v>7213</v>
      </c>
      <c r="AF255" s="13">
        <f t="shared" si="24"/>
        <v>0</v>
      </c>
      <c r="AG255" s="13">
        <f t="shared" si="25"/>
        <v>291865</v>
      </c>
      <c r="AH255" s="13">
        <f t="shared" si="26"/>
        <v>397910</v>
      </c>
      <c r="AI255" s="13">
        <f t="shared" si="27"/>
        <v>5679</v>
      </c>
    </row>
    <row r="256" spans="1:35" x14ac:dyDescent="0.25">
      <c r="A256" s="6" t="s">
        <v>65</v>
      </c>
      <c r="B256" s="2">
        <v>46</v>
      </c>
      <c r="C256" s="2" t="s">
        <v>111</v>
      </c>
      <c r="D256" s="3">
        <v>0</v>
      </c>
      <c r="E256" s="3">
        <v>2103</v>
      </c>
      <c r="F256" s="3">
        <v>0</v>
      </c>
      <c r="G256" s="3">
        <v>1513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10">
        <v>0</v>
      </c>
      <c r="N256" s="9">
        <v>0</v>
      </c>
      <c r="O256" s="3">
        <v>0</v>
      </c>
      <c r="P256" s="9">
        <v>0</v>
      </c>
      <c r="Q256" s="3">
        <v>0</v>
      </c>
      <c r="R256" s="5">
        <v>1287</v>
      </c>
      <c r="S256" s="3">
        <v>1324</v>
      </c>
      <c r="T256" s="3">
        <v>0</v>
      </c>
      <c r="U256" s="3">
        <v>0</v>
      </c>
      <c r="V256" s="3">
        <v>0</v>
      </c>
      <c r="W256" s="10">
        <v>0</v>
      </c>
      <c r="X256" s="3">
        <v>0</v>
      </c>
      <c r="Y256" s="3">
        <v>0</v>
      </c>
      <c r="Z256" s="9">
        <v>0</v>
      </c>
      <c r="AA256" s="9">
        <v>0</v>
      </c>
      <c r="AB256" s="5">
        <v>0</v>
      </c>
      <c r="AC256" s="3">
        <v>8860</v>
      </c>
      <c r="AD256" s="13">
        <f t="shared" si="22"/>
        <v>6227</v>
      </c>
      <c r="AE256" s="13">
        <f t="shared" si="23"/>
        <v>8860</v>
      </c>
      <c r="AF256" s="13">
        <f t="shared" si="24"/>
        <v>0</v>
      </c>
      <c r="AG256" s="13">
        <f t="shared" si="25"/>
        <v>298092</v>
      </c>
      <c r="AH256" s="13">
        <f t="shared" si="26"/>
        <v>406770</v>
      </c>
      <c r="AI256" s="13">
        <f t="shared" si="27"/>
        <v>5679</v>
      </c>
    </row>
    <row r="257" spans="1:35" x14ac:dyDescent="0.25">
      <c r="A257" s="6" t="s">
        <v>65</v>
      </c>
      <c r="B257" s="2">
        <v>47</v>
      </c>
      <c r="C257" s="2" t="s">
        <v>112</v>
      </c>
      <c r="D257" s="3">
        <v>0</v>
      </c>
      <c r="E257" s="3">
        <v>1706</v>
      </c>
      <c r="F257" s="3">
        <v>0</v>
      </c>
      <c r="G257" s="3">
        <v>1095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10">
        <v>0</v>
      </c>
      <c r="N257" s="9">
        <v>0</v>
      </c>
      <c r="O257" s="3">
        <v>0</v>
      </c>
      <c r="P257" s="9">
        <v>0</v>
      </c>
      <c r="Q257" s="3">
        <v>0</v>
      </c>
      <c r="R257" s="5">
        <v>379</v>
      </c>
      <c r="S257" s="3">
        <v>580</v>
      </c>
      <c r="T257" s="3">
        <v>0</v>
      </c>
      <c r="U257" s="3">
        <v>0</v>
      </c>
      <c r="V257" s="3">
        <v>0</v>
      </c>
      <c r="W257" s="10">
        <v>0</v>
      </c>
      <c r="X257" s="3">
        <v>0</v>
      </c>
      <c r="Y257" s="3">
        <v>0</v>
      </c>
      <c r="Z257" s="9">
        <v>0</v>
      </c>
      <c r="AA257" s="9">
        <v>0</v>
      </c>
      <c r="AB257" s="5">
        <v>0</v>
      </c>
      <c r="AC257" s="3">
        <v>6932</v>
      </c>
      <c r="AD257" s="13">
        <f t="shared" si="22"/>
        <v>3760</v>
      </c>
      <c r="AE257" s="13">
        <f t="shared" si="23"/>
        <v>6932</v>
      </c>
      <c r="AF257" s="13">
        <f t="shared" si="24"/>
        <v>0</v>
      </c>
      <c r="AG257" s="13">
        <f t="shared" si="25"/>
        <v>301852</v>
      </c>
      <c r="AH257" s="13">
        <f t="shared" si="26"/>
        <v>413702</v>
      </c>
      <c r="AI257" s="13">
        <f t="shared" si="27"/>
        <v>5679</v>
      </c>
    </row>
    <row r="258" spans="1:35" x14ac:dyDescent="0.25">
      <c r="A258" s="6" t="s">
        <v>65</v>
      </c>
      <c r="B258" s="2">
        <v>48</v>
      </c>
      <c r="C258" s="2" t="s">
        <v>113</v>
      </c>
      <c r="D258" s="3">
        <v>0</v>
      </c>
      <c r="E258" s="3">
        <v>1961</v>
      </c>
      <c r="F258" s="3">
        <v>0</v>
      </c>
      <c r="G258" s="3">
        <v>1091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10">
        <v>0</v>
      </c>
      <c r="N258" s="9">
        <v>0</v>
      </c>
      <c r="O258" s="3">
        <v>0</v>
      </c>
      <c r="P258" s="9">
        <v>0</v>
      </c>
      <c r="Q258" s="3">
        <v>0</v>
      </c>
      <c r="R258" s="5">
        <v>524</v>
      </c>
      <c r="S258" s="3">
        <v>523</v>
      </c>
      <c r="T258" s="3">
        <v>0</v>
      </c>
      <c r="U258" s="3">
        <v>0</v>
      </c>
      <c r="V258" s="3">
        <v>0</v>
      </c>
      <c r="W258" s="10">
        <v>0</v>
      </c>
      <c r="X258" s="3">
        <v>0</v>
      </c>
      <c r="Y258" s="3">
        <v>0</v>
      </c>
      <c r="Z258" s="9">
        <v>0</v>
      </c>
      <c r="AA258" s="9">
        <v>0</v>
      </c>
      <c r="AB258" s="5">
        <v>0</v>
      </c>
      <c r="AC258" s="3">
        <v>8324</v>
      </c>
      <c r="AD258" s="13">
        <f t="shared" ref="AD258:AD316" si="28">E258+S258+N258+G258+R258</f>
        <v>4099</v>
      </c>
      <c r="AE258" s="13">
        <f t="shared" ref="AE258:AE316" si="29">AC258</f>
        <v>8324</v>
      </c>
      <c r="AF258" s="13">
        <f t="shared" ref="AF258:AF316" si="30">SUM(D258:AC258)-AD258-AE258</f>
        <v>0</v>
      </c>
      <c r="AG258" s="13">
        <f t="shared" si="25"/>
        <v>305951</v>
      </c>
      <c r="AH258" s="13">
        <f t="shared" si="26"/>
        <v>422026</v>
      </c>
      <c r="AI258" s="13">
        <f t="shared" si="27"/>
        <v>5679</v>
      </c>
    </row>
    <row r="259" spans="1:35" x14ac:dyDescent="0.25">
      <c r="A259" s="6" t="s">
        <v>65</v>
      </c>
      <c r="B259" s="2">
        <v>49</v>
      </c>
      <c r="C259" s="2" t="s">
        <v>114</v>
      </c>
      <c r="D259" s="3">
        <v>0</v>
      </c>
      <c r="E259" s="3">
        <v>815</v>
      </c>
      <c r="F259" s="3">
        <v>0</v>
      </c>
      <c r="G259" s="3">
        <v>1709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10">
        <v>0</v>
      </c>
      <c r="N259" s="9">
        <v>0</v>
      </c>
      <c r="O259" s="3">
        <v>0</v>
      </c>
      <c r="P259" s="9">
        <v>0</v>
      </c>
      <c r="Q259" s="3">
        <v>0</v>
      </c>
      <c r="R259" s="5">
        <v>1044</v>
      </c>
      <c r="S259" s="3">
        <v>130</v>
      </c>
      <c r="T259" s="3">
        <v>0</v>
      </c>
      <c r="U259" s="3">
        <v>0</v>
      </c>
      <c r="V259" s="3">
        <v>0</v>
      </c>
      <c r="W259" s="10">
        <v>0</v>
      </c>
      <c r="X259" s="3">
        <v>0</v>
      </c>
      <c r="Y259" s="3">
        <v>0</v>
      </c>
      <c r="Z259" s="9">
        <v>0</v>
      </c>
      <c r="AA259" s="9">
        <v>0</v>
      </c>
      <c r="AB259" s="5">
        <v>0</v>
      </c>
      <c r="AC259" s="3">
        <v>4452</v>
      </c>
      <c r="AD259" s="13">
        <f t="shared" si="28"/>
        <v>3698</v>
      </c>
      <c r="AE259" s="13">
        <f t="shared" si="29"/>
        <v>4452</v>
      </c>
      <c r="AF259" s="13">
        <f t="shared" si="30"/>
        <v>0</v>
      </c>
      <c r="AG259" s="13">
        <f t="shared" si="25"/>
        <v>309649</v>
      </c>
      <c r="AH259" s="13">
        <f t="shared" si="26"/>
        <v>426478</v>
      </c>
      <c r="AI259" s="13">
        <f t="shared" si="27"/>
        <v>5679</v>
      </c>
    </row>
    <row r="260" spans="1:35" x14ac:dyDescent="0.25">
      <c r="A260" s="6" t="s">
        <v>65</v>
      </c>
      <c r="B260" s="2">
        <v>50</v>
      </c>
      <c r="C260" s="2" t="s">
        <v>115</v>
      </c>
      <c r="D260" s="3">
        <v>0</v>
      </c>
      <c r="E260" s="3">
        <v>1661</v>
      </c>
      <c r="F260" s="3">
        <v>0</v>
      </c>
      <c r="G260" s="3">
        <v>1791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10">
        <v>0</v>
      </c>
      <c r="N260" s="9">
        <v>0</v>
      </c>
      <c r="O260" s="3">
        <v>0</v>
      </c>
      <c r="P260" s="9">
        <v>0</v>
      </c>
      <c r="Q260" s="3">
        <v>0</v>
      </c>
      <c r="R260" s="5">
        <v>527</v>
      </c>
      <c r="S260" s="3">
        <v>48</v>
      </c>
      <c r="T260" s="3">
        <v>0</v>
      </c>
      <c r="U260" s="3">
        <v>0</v>
      </c>
      <c r="V260" s="3">
        <v>0</v>
      </c>
      <c r="W260" s="10">
        <v>0</v>
      </c>
      <c r="X260" s="3">
        <v>0</v>
      </c>
      <c r="Y260" s="3">
        <v>0</v>
      </c>
      <c r="Z260" s="9">
        <v>0</v>
      </c>
      <c r="AA260" s="9">
        <v>0</v>
      </c>
      <c r="AB260" s="5">
        <v>0</v>
      </c>
      <c r="AC260" s="3">
        <v>3353</v>
      </c>
      <c r="AD260" s="13">
        <f t="shared" si="28"/>
        <v>4027</v>
      </c>
      <c r="AE260" s="13">
        <f t="shared" si="29"/>
        <v>3353</v>
      </c>
      <c r="AF260" s="13">
        <f t="shared" si="30"/>
        <v>0</v>
      </c>
      <c r="AG260" s="13">
        <f t="shared" si="25"/>
        <v>313676</v>
      </c>
      <c r="AH260" s="13">
        <f t="shared" si="26"/>
        <v>429831</v>
      </c>
      <c r="AI260" s="13">
        <f t="shared" si="27"/>
        <v>5679</v>
      </c>
    </row>
    <row r="261" spans="1:35" x14ac:dyDescent="0.25">
      <c r="A261" s="6" t="s">
        <v>65</v>
      </c>
      <c r="B261" s="2">
        <v>51</v>
      </c>
      <c r="C261" s="2" t="s">
        <v>116</v>
      </c>
      <c r="D261" s="3">
        <v>0</v>
      </c>
      <c r="E261" s="3">
        <v>949</v>
      </c>
      <c r="F261" s="3">
        <v>0</v>
      </c>
      <c r="G261" s="3">
        <v>531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10">
        <v>0</v>
      </c>
      <c r="N261" s="9">
        <v>0</v>
      </c>
      <c r="O261" s="3">
        <v>0</v>
      </c>
      <c r="P261" s="9">
        <v>0</v>
      </c>
      <c r="Q261" s="3">
        <v>0</v>
      </c>
      <c r="R261" s="5">
        <v>603</v>
      </c>
      <c r="S261" s="3">
        <v>113</v>
      </c>
      <c r="T261" s="3">
        <v>0</v>
      </c>
      <c r="U261" s="3">
        <v>0</v>
      </c>
      <c r="V261" s="3">
        <v>0</v>
      </c>
      <c r="W261" s="10">
        <v>0</v>
      </c>
      <c r="X261" s="3">
        <v>0</v>
      </c>
      <c r="Y261" s="3">
        <v>0</v>
      </c>
      <c r="Z261" s="9">
        <v>0</v>
      </c>
      <c r="AA261" s="9">
        <v>0</v>
      </c>
      <c r="AB261" s="5">
        <v>0</v>
      </c>
      <c r="AC261" s="3">
        <v>5017</v>
      </c>
      <c r="AD261" s="13">
        <f t="shared" si="28"/>
        <v>2196</v>
      </c>
      <c r="AE261" s="13">
        <f t="shared" si="29"/>
        <v>5017</v>
      </c>
      <c r="AF261" s="13">
        <f t="shared" si="30"/>
        <v>0</v>
      </c>
      <c r="AG261" s="13">
        <f t="shared" si="25"/>
        <v>315872</v>
      </c>
      <c r="AH261" s="13">
        <f t="shared" si="26"/>
        <v>434848</v>
      </c>
      <c r="AI261" s="13">
        <f t="shared" si="27"/>
        <v>5679</v>
      </c>
    </row>
    <row r="262" spans="1:35" x14ac:dyDescent="0.25">
      <c r="A262" s="6" t="s">
        <v>65</v>
      </c>
      <c r="B262" s="2">
        <v>52</v>
      </c>
      <c r="C262" s="2" t="s">
        <v>117</v>
      </c>
      <c r="D262" s="3">
        <v>0</v>
      </c>
      <c r="E262" s="3">
        <v>2621</v>
      </c>
      <c r="F262" s="3">
        <v>0</v>
      </c>
      <c r="G262" s="3">
        <v>6784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10">
        <v>0</v>
      </c>
      <c r="N262" s="9">
        <v>0</v>
      </c>
      <c r="O262" s="3">
        <v>0</v>
      </c>
      <c r="P262" s="9">
        <v>0</v>
      </c>
      <c r="Q262" s="3">
        <v>0</v>
      </c>
      <c r="R262" s="5">
        <v>1198</v>
      </c>
      <c r="S262" s="3">
        <v>281</v>
      </c>
      <c r="T262" s="3">
        <v>0</v>
      </c>
      <c r="U262" s="3">
        <v>0</v>
      </c>
      <c r="V262" s="3">
        <v>0</v>
      </c>
      <c r="W262" s="10">
        <v>0</v>
      </c>
      <c r="X262" s="3">
        <v>0</v>
      </c>
      <c r="Y262" s="3">
        <v>0</v>
      </c>
      <c r="Z262" s="9">
        <v>0</v>
      </c>
      <c r="AA262" s="9">
        <v>0</v>
      </c>
      <c r="AB262" s="5">
        <v>0</v>
      </c>
      <c r="AC262" s="3">
        <v>8977</v>
      </c>
      <c r="AD262" s="13">
        <f t="shared" si="28"/>
        <v>10884</v>
      </c>
      <c r="AE262" s="13">
        <f t="shared" si="29"/>
        <v>8977</v>
      </c>
      <c r="AF262" s="13">
        <f t="shared" si="30"/>
        <v>0</v>
      </c>
      <c r="AG262" s="13">
        <f t="shared" si="25"/>
        <v>326756</v>
      </c>
      <c r="AH262" s="13">
        <f t="shared" si="26"/>
        <v>443825</v>
      </c>
      <c r="AI262" s="13">
        <f t="shared" si="27"/>
        <v>5679</v>
      </c>
    </row>
    <row r="263" spans="1:35" x14ac:dyDescent="0.25">
      <c r="A263" s="44" t="s">
        <v>297</v>
      </c>
      <c r="B263" s="38">
        <v>1</v>
      </c>
      <c r="C263" s="38" t="s">
        <v>298</v>
      </c>
      <c r="D263" s="39">
        <v>0</v>
      </c>
      <c r="E263" s="39">
        <v>28</v>
      </c>
      <c r="F263" s="39">
        <v>0</v>
      </c>
      <c r="G263" s="39">
        <v>2016</v>
      </c>
      <c r="H263" s="39">
        <v>0</v>
      </c>
      <c r="I263" s="39">
        <v>0</v>
      </c>
      <c r="J263" s="39">
        <v>0</v>
      </c>
      <c r="K263" s="39">
        <v>0</v>
      </c>
      <c r="L263" s="39">
        <v>0</v>
      </c>
      <c r="M263" s="48">
        <v>0</v>
      </c>
      <c r="N263" s="39">
        <v>0</v>
      </c>
      <c r="O263" s="39">
        <v>0</v>
      </c>
      <c r="P263" s="49">
        <v>0</v>
      </c>
      <c r="Q263" s="39">
        <v>0</v>
      </c>
      <c r="R263" s="39">
        <v>379</v>
      </c>
      <c r="S263" s="39">
        <v>30</v>
      </c>
      <c r="T263" s="39">
        <v>0</v>
      </c>
      <c r="U263" s="39">
        <v>0</v>
      </c>
      <c r="V263" s="39">
        <v>0</v>
      </c>
      <c r="W263" s="48">
        <v>0</v>
      </c>
      <c r="X263" s="39">
        <v>0</v>
      </c>
      <c r="Y263" s="39">
        <v>0</v>
      </c>
      <c r="Z263" s="39">
        <v>0</v>
      </c>
      <c r="AA263" s="39">
        <v>0</v>
      </c>
      <c r="AB263" s="50">
        <v>0</v>
      </c>
      <c r="AC263" s="39">
        <v>0</v>
      </c>
      <c r="AD263" s="42">
        <f t="shared" si="28"/>
        <v>2453</v>
      </c>
      <c r="AE263" s="42">
        <f t="shared" si="29"/>
        <v>0</v>
      </c>
      <c r="AF263" s="42">
        <f t="shared" si="30"/>
        <v>0</v>
      </c>
      <c r="AG263" s="42">
        <f>AD263</f>
        <v>2453</v>
      </c>
      <c r="AH263" s="42">
        <f>AE263</f>
        <v>0</v>
      </c>
      <c r="AI263" s="42">
        <f>AF263</f>
        <v>0</v>
      </c>
    </row>
    <row r="264" spans="1:35" x14ac:dyDescent="0.25">
      <c r="A264" s="6" t="s">
        <v>297</v>
      </c>
      <c r="B264" s="2">
        <v>2</v>
      </c>
      <c r="C264" s="2" t="s">
        <v>299</v>
      </c>
      <c r="D264" s="3">
        <v>0</v>
      </c>
      <c r="E264" s="3">
        <v>522</v>
      </c>
      <c r="F264" s="3">
        <v>0</v>
      </c>
      <c r="G264" s="3">
        <v>1758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10">
        <v>0</v>
      </c>
      <c r="N264" s="3">
        <v>0</v>
      </c>
      <c r="O264" s="3">
        <v>0</v>
      </c>
      <c r="P264" s="9">
        <v>0</v>
      </c>
      <c r="Q264" s="3">
        <v>0</v>
      </c>
      <c r="R264" s="3">
        <v>1046</v>
      </c>
      <c r="S264" s="3">
        <v>75</v>
      </c>
      <c r="T264" s="3">
        <v>0</v>
      </c>
      <c r="U264" s="3">
        <v>0</v>
      </c>
      <c r="V264" s="3">
        <v>0</v>
      </c>
      <c r="W264" s="10">
        <v>0</v>
      </c>
      <c r="X264" s="3">
        <v>0</v>
      </c>
      <c r="Y264" s="3">
        <v>0</v>
      </c>
      <c r="Z264" s="3">
        <v>0</v>
      </c>
      <c r="AA264" s="3">
        <v>0</v>
      </c>
      <c r="AB264" s="5">
        <v>0</v>
      </c>
      <c r="AC264" s="3">
        <v>444</v>
      </c>
      <c r="AD264" s="13">
        <f t="shared" si="28"/>
        <v>3401</v>
      </c>
      <c r="AE264" s="13">
        <f t="shared" si="29"/>
        <v>444</v>
      </c>
      <c r="AF264" s="13">
        <f t="shared" si="30"/>
        <v>0</v>
      </c>
      <c r="AG264" s="13">
        <f>AG263+AD264</f>
        <v>5854</v>
      </c>
      <c r="AH264" s="13">
        <f>AH263+AE264</f>
        <v>444</v>
      </c>
      <c r="AI264" s="13">
        <f>AI263+AF264</f>
        <v>0</v>
      </c>
    </row>
    <row r="265" spans="1:35" x14ac:dyDescent="0.25">
      <c r="A265" s="6" t="s">
        <v>297</v>
      </c>
      <c r="B265" s="2">
        <v>3</v>
      </c>
      <c r="C265" s="2" t="s">
        <v>300</v>
      </c>
      <c r="D265" s="3">
        <v>0</v>
      </c>
      <c r="E265" s="3">
        <v>308</v>
      </c>
      <c r="F265" s="3">
        <v>0</v>
      </c>
      <c r="G265" s="3">
        <v>2633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10">
        <v>0</v>
      </c>
      <c r="N265" s="3">
        <v>207</v>
      </c>
      <c r="O265" s="3">
        <v>0</v>
      </c>
      <c r="P265" s="9">
        <v>0</v>
      </c>
      <c r="Q265" s="3">
        <v>0</v>
      </c>
      <c r="R265" s="3">
        <v>1430</v>
      </c>
      <c r="S265" s="3">
        <v>1010</v>
      </c>
      <c r="T265" s="3">
        <v>0</v>
      </c>
      <c r="U265" s="3">
        <v>0</v>
      </c>
      <c r="V265" s="3">
        <v>0</v>
      </c>
      <c r="W265" s="10">
        <v>0</v>
      </c>
      <c r="X265" s="3">
        <v>0</v>
      </c>
      <c r="Y265" s="3">
        <v>0</v>
      </c>
      <c r="Z265" s="3">
        <v>0</v>
      </c>
      <c r="AA265" s="3">
        <v>0</v>
      </c>
      <c r="AB265" s="5">
        <v>0</v>
      </c>
      <c r="AC265" s="3">
        <v>140</v>
      </c>
      <c r="AD265" s="13">
        <f t="shared" si="28"/>
        <v>5588</v>
      </c>
      <c r="AE265" s="13">
        <f t="shared" si="29"/>
        <v>140</v>
      </c>
      <c r="AF265" s="13">
        <f t="shared" si="30"/>
        <v>0</v>
      </c>
      <c r="AG265" s="13">
        <f t="shared" ref="AG265:AG312" si="31">AG264+AD265</f>
        <v>11442</v>
      </c>
      <c r="AH265" s="13">
        <f t="shared" ref="AH265:AH312" si="32">AH264+AE265</f>
        <v>584</v>
      </c>
      <c r="AI265" s="13">
        <f t="shared" ref="AI265:AI312" si="33">AI264+AF265</f>
        <v>0</v>
      </c>
    </row>
    <row r="266" spans="1:35" x14ac:dyDescent="0.25">
      <c r="A266" s="6" t="s">
        <v>297</v>
      </c>
      <c r="B266" s="2">
        <v>4</v>
      </c>
      <c r="C266" s="2" t="s">
        <v>301</v>
      </c>
      <c r="D266" s="3">
        <v>0</v>
      </c>
      <c r="E266" s="3">
        <v>1070</v>
      </c>
      <c r="F266" s="3">
        <v>0</v>
      </c>
      <c r="G266" s="3">
        <v>2010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10">
        <v>0</v>
      </c>
      <c r="N266" s="3">
        <v>8</v>
      </c>
      <c r="O266" s="3">
        <v>0</v>
      </c>
      <c r="P266" s="9">
        <v>0</v>
      </c>
      <c r="Q266" s="3">
        <v>0</v>
      </c>
      <c r="R266" s="3">
        <v>1384</v>
      </c>
      <c r="S266" s="3">
        <v>1408</v>
      </c>
      <c r="T266" s="3">
        <v>0</v>
      </c>
      <c r="U266" s="3">
        <v>0</v>
      </c>
      <c r="V266" s="3">
        <v>0</v>
      </c>
      <c r="W266" s="10">
        <v>0</v>
      </c>
      <c r="X266" s="3">
        <v>0</v>
      </c>
      <c r="Y266" s="3">
        <v>0</v>
      </c>
      <c r="Z266" s="3">
        <v>0</v>
      </c>
      <c r="AA266" s="3">
        <v>0</v>
      </c>
      <c r="AB266" s="5">
        <v>0</v>
      </c>
      <c r="AC266" s="3">
        <v>0</v>
      </c>
      <c r="AD266" s="13">
        <f t="shared" si="28"/>
        <v>5880</v>
      </c>
      <c r="AE266" s="13">
        <f t="shared" si="29"/>
        <v>0</v>
      </c>
      <c r="AF266" s="13">
        <f t="shared" si="30"/>
        <v>0</v>
      </c>
      <c r="AG266" s="13">
        <f t="shared" si="31"/>
        <v>17322</v>
      </c>
      <c r="AH266" s="13">
        <f t="shared" si="32"/>
        <v>584</v>
      </c>
      <c r="AI266" s="13">
        <f t="shared" si="33"/>
        <v>0</v>
      </c>
    </row>
    <row r="267" spans="1:35" x14ac:dyDescent="0.25">
      <c r="A267" s="6" t="s">
        <v>297</v>
      </c>
      <c r="B267" s="2">
        <v>5</v>
      </c>
      <c r="C267" s="2" t="s">
        <v>302</v>
      </c>
      <c r="D267" s="3">
        <v>0</v>
      </c>
      <c r="E267" s="3">
        <v>2293</v>
      </c>
      <c r="F267" s="3">
        <v>0</v>
      </c>
      <c r="G267" s="3">
        <v>957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10">
        <v>0</v>
      </c>
      <c r="N267" s="3">
        <v>79</v>
      </c>
      <c r="O267" s="3">
        <v>0</v>
      </c>
      <c r="P267" s="9">
        <v>0</v>
      </c>
      <c r="Q267" s="3">
        <v>0</v>
      </c>
      <c r="R267" s="3">
        <v>3057</v>
      </c>
      <c r="S267" s="3">
        <v>1557</v>
      </c>
      <c r="T267" s="3">
        <v>713</v>
      </c>
      <c r="U267" s="3">
        <v>0</v>
      </c>
      <c r="V267" s="3">
        <v>0</v>
      </c>
      <c r="W267" s="10">
        <v>0</v>
      </c>
      <c r="X267" s="3">
        <v>0</v>
      </c>
      <c r="Y267" s="3">
        <v>0</v>
      </c>
      <c r="Z267" s="3">
        <v>0</v>
      </c>
      <c r="AA267" s="3">
        <v>0</v>
      </c>
      <c r="AB267" s="5">
        <v>0</v>
      </c>
      <c r="AC267" s="3">
        <v>4660</v>
      </c>
      <c r="AD267" s="13">
        <f t="shared" si="28"/>
        <v>7943</v>
      </c>
      <c r="AE267" s="13">
        <f t="shared" si="29"/>
        <v>4660</v>
      </c>
      <c r="AF267" s="13">
        <f t="shared" si="30"/>
        <v>713</v>
      </c>
      <c r="AG267" s="13">
        <f t="shared" si="31"/>
        <v>25265</v>
      </c>
      <c r="AH267" s="13">
        <f t="shared" si="32"/>
        <v>5244</v>
      </c>
      <c r="AI267" s="13">
        <f t="shared" si="33"/>
        <v>713</v>
      </c>
    </row>
    <row r="268" spans="1:35" x14ac:dyDescent="0.25">
      <c r="A268" s="6" t="s">
        <v>297</v>
      </c>
      <c r="B268" s="2">
        <v>6</v>
      </c>
      <c r="C268" s="2" t="s">
        <v>303</v>
      </c>
      <c r="D268" s="3">
        <v>0</v>
      </c>
      <c r="E268" s="3">
        <v>678</v>
      </c>
      <c r="F268" s="3">
        <v>0</v>
      </c>
      <c r="G268" s="3">
        <v>2492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10">
        <v>0</v>
      </c>
      <c r="N268" s="3">
        <v>6</v>
      </c>
      <c r="O268" s="3">
        <v>0</v>
      </c>
      <c r="P268" s="9">
        <v>0</v>
      </c>
      <c r="Q268" s="3">
        <v>0</v>
      </c>
      <c r="R268" s="3">
        <v>1297</v>
      </c>
      <c r="S268" s="3">
        <v>982</v>
      </c>
      <c r="T268" s="3">
        <v>0</v>
      </c>
      <c r="U268" s="3">
        <v>0</v>
      </c>
      <c r="V268" s="3">
        <v>0</v>
      </c>
      <c r="W268" s="10">
        <v>0</v>
      </c>
      <c r="X268" s="3">
        <v>0</v>
      </c>
      <c r="Y268" s="3">
        <v>0</v>
      </c>
      <c r="Z268" s="3">
        <v>0</v>
      </c>
      <c r="AA268" s="3">
        <v>0</v>
      </c>
      <c r="AB268" s="5">
        <v>0</v>
      </c>
      <c r="AC268" s="3">
        <v>10566</v>
      </c>
      <c r="AD268" s="13">
        <f t="shared" si="28"/>
        <v>5455</v>
      </c>
      <c r="AE268" s="13">
        <f t="shared" si="29"/>
        <v>10566</v>
      </c>
      <c r="AF268" s="13">
        <f t="shared" si="30"/>
        <v>0</v>
      </c>
      <c r="AG268" s="13">
        <f t="shared" si="31"/>
        <v>30720</v>
      </c>
      <c r="AH268" s="13">
        <f t="shared" si="32"/>
        <v>15810</v>
      </c>
      <c r="AI268" s="13">
        <f t="shared" si="33"/>
        <v>713</v>
      </c>
    </row>
    <row r="269" spans="1:35" x14ac:dyDescent="0.25">
      <c r="A269" s="6" t="s">
        <v>297</v>
      </c>
      <c r="B269" s="2">
        <v>7</v>
      </c>
      <c r="C269" s="2" t="s">
        <v>304</v>
      </c>
      <c r="D269" s="3">
        <v>0</v>
      </c>
      <c r="E269" s="3">
        <v>1291</v>
      </c>
      <c r="F269" s="3">
        <v>0</v>
      </c>
      <c r="G269" s="3">
        <v>2213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10">
        <v>0</v>
      </c>
      <c r="N269" s="3">
        <v>3</v>
      </c>
      <c r="O269" s="3">
        <v>0</v>
      </c>
      <c r="P269" s="9">
        <v>0</v>
      </c>
      <c r="Q269" s="3">
        <v>0</v>
      </c>
      <c r="R269" s="3">
        <v>957</v>
      </c>
      <c r="S269" s="3">
        <v>1622</v>
      </c>
      <c r="T269" s="3">
        <v>0</v>
      </c>
      <c r="U269" s="3">
        <v>0</v>
      </c>
      <c r="V269" s="3">
        <v>0</v>
      </c>
      <c r="W269" s="10">
        <v>0</v>
      </c>
      <c r="X269" s="3">
        <v>0</v>
      </c>
      <c r="Y269" s="3">
        <v>0</v>
      </c>
      <c r="Z269" s="3">
        <v>0</v>
      </c>
      <c r="AA269" s="3">
        <v>32054</v>
      </c>
      <c r="AB269" s="5">
        <v>0</v>
      </c>
      <c r="AC269" s="3">
        <v>12595</v>
      </c>
      <c r="AD269" s="13">
        <f t="shared" si="28"/>
        <v>6086</v>
      </c>
      <c r="AE269" s="13">
        <f t="shared" si="29"/>
        <v>12595</v>
      </c>
      <c r="AF269" s="13">
        <f t="shared" si="30"/>
        <v>32054</v>
      </c>
      <c r="AG269" s="13">
        <f t="shared" si="31"/>
        <v>36806</v>
      </c>
      <c r="AH269" s="13">
        <f t="shared" si="32"/>
        <v>28405</v>
      </c>
      <c r="AI269" s="13">
        <f t="shared" si="33"/>
        <v>32767</v>
      </c>
    </row>
    <row r="270" spans="1:35" x14ac:dyDescent="0.25">
      <c r="A270" s="6" t="s">
        <v>297</v>
      </c>
      <c r="B270" s="2">
        <v>8</v>
      </c>
      <c r="C270" s="2" t="s">
        <v>305</v>
      </c>
      <c r="D270" s="3">
        <v>0</v>
      </c>
      <c r="E270" s="3">
        <v>323</v>
      </c>
      <c r="F270" s="3">
        <v>0</v>
      </c>
      <c r="G270" s="3">
        <v>2018</v>
      </c>
      <c r="H270" s="3">
        <v>0</v>
      </c>
      <c r="I270" s="3">
        <v>0</v>
      </c>
      <c r="J270" s="3">
        <v>0</v>
      </c>
      <c r="K270" s="3">
        <v>0</v>
      </c>
      <c r="L270" s="3">
        <v>16890</v>
      </c>
      <c r="M270" s="10">
        <v>0</v>
      </c>
      <c r="N270" s="3">
        <v>3</v>
      </c>
      <c r="O270" s="3">
        <v>0</v>
      </c>
      <c r="P270" s="9">
        <v>0</v>
      </c>
      <c r="Q270" s="3">
        <v>0</v>
      </c>
      <c r="R270" s="3">
        <v>1758</v>
      </c>
      <c r="S270" s="3">
        <v>1977</v>
      </c>
      <c r="T270" s="3">
        <v>0</v>
      </c>
      <c r="U270" s="3">
        <v>0</v>
      </c>
      <c r="V270" s="3">
        <v>0</v>
      </c>
      <c r="W270" s="10">
        <v>0</v>
      </c>
      <c r="X270" s="3">
        <v>0</v>
      </c>
      <c r="Y270" s="3">
        <v>0</v>
      </c>
      <c r="Z270" s="3">
        <v>0</v>
      </c>
      <c r="AA270" s="3">
        <v>22946</v>
      </c>
      <c r="AB270" s="5">
        <v>0</v>
      </c>
      <c r="AC270" s="3">
        <v>12882</v>
      </c>
      <c r="AD270" s="13">
        <f t="shared" si="28"/>
        <v>6079</v>
      </c>
      <c r="AE270" s="13">
        <f t="shared" si="29"/>
        <v>12882</v>
      </c>
      <c r="AF270" s="13">
        <f t="shared" si="30"/>
        <v>39836</v>
      </c>
      <c r="AG270" s="13">
        <f t="shared" si="31"/>
        <v>42885</v>
      </c>
      <c r="AH270" s="13">
        <f t="shared" si="32"/>
        <v>41287</v>
      </c>
      <c r="AI270" s="13">
        <f t="shared" si="33"/>
        <v>72603</v>
      </c>
    </row>
    <row r="271" spans="1:35" x14ac:dyDescent="0.25">
      <c r="A271" s="6" t="s">
        <v>297</v>
      </c>
      <c r="B271" s="2">
        <v>9</v>
      </c>
      <c r="C271" s="2" t="s">
        <v>306</v>
      </c>
      <c r="D271" s="3">
        <v>0</v>
      </c>
      <c r="E271" s="3">
        <v>2628</v>
      </c>
      <c r="F271" s="3">
        <v>0</v>
      </c>
      <c r="G271" s="3">
        <v>1895</v>
      </c>
      <c r="H271" s="3">
        <v>0</v>
      </c>
      <c r="I271" s="3">
        <v>0</v>
      </c>
      <c r="J271" s="3">
        <v>0</v>
      </c>
      <c r="K271" s="3">
        <v>0</v>
      </c>
      <c r="L271" s="3">
        <v>30743</v>
      </c>
      <c r="M271" s="10">
        <v>0</v>
      </c>
      <c r="N271" s="3">
        <v>423</v>
      </c>
      <c r="O271" s="3">
        <v>0</v>
      </c>
      <c r="P271" s="9">
        <v>0</v>
      </c>
      <c r="Q271" s="3">
        <v>0</v>
      </c>
      <c r="R271" s="3">
        <v>1315</v>
      </c>
      <c r="S271" s="3">
        <v>1340</v>
      </c>
      <c r="T271" s="3">
        <v>0</v>
      </c>
      <c r="U271" s="3">
        <v>0</v>
      </c>
      <c r="V271" s="3">
        <v>0</v>
      </c>
      <c r="W271" s="10">
        <v>0</v>
      </c>
      <c r="X271" s="3">
        <v>0</v>
      </c>
      <c r="Y271" s="3">
        <v>0</v>
      </c>
      <c r="Z271" s="3">
        <v>0</v>
      </c>
      <c r="AA271" s="3">
        <v>12675</v>
      </c>
      <c r="AB271" s="5">
        <v>0</v>
      </c>
      <c r="AC271" s="3">
        <v>11572</v>
      </c>
      <c r="AD271" s="13">
        <f t="shared" si="28"/>
        <v>7601</v>
      </c>
      <c r="AE271" s="13">
        <f t="shared" si="29"/>
        <v>11572</v>
      </c>
      <c r="AF271" s="13">
        <f t="shared" si="30"/>
        <v>43418</v>
      </c>
      <c r="AG271" s="13">
        <f t="shared" si="31"/>
        <v>50486</v>
      </c>
      <c r="AH271" s="13">
        <f t="shared" si="32"/>
        <v>52859</v>
      </c>
      <c r="AI271" s="13">
        <f t="shared" si="33"/>
        <v>116021</v>
      </c>
    </row>
    <row r="272" spans="1:35" x14ac:dyDescent="0.25">
      <c r="A272" s="6" t="s">
        <v>297</v>
      </c>
      <c r="B272" s="2">
        <v>10</v>
      </c>
      <c r="C272" s="2" t="s">
        <v>307</v>
      </c>
      <c r="D272" s="3">
        <v>0</v>
      </c>
      <c r="E272" s="3">
        <v>1121</v>
      </c>
      <c r="F272" s="3">
        <v>0</v>
      </c>
      <c r="G272" s="3">
        <v>1752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10">
        <v>0</v>
      </c>
      <c r="N272" s="3">
        <v>0</v>
      </c>
      <c r="O272" s="3">
        <v>0</v>
      </c>
      <c r="P272" s="9">
        <v>0</v>
      </c>
      <c r="Q272" s="3">
        <v>0</v>
      </c>
      <c r="R272" s="3">
        <v>2286</v>
      </c>
      <c r="S272" s="3">
        <v>885</v>
      </c>
      <c r="T272" s="3">
        <v>0</v>
      </c>
      <c r="U272" s="3">
        <v>0</v>
      </c>
      <c r="V272" s="3">
        <v>0</v>
      </c>
      <c r="W272" s="10">
        <v>0</v>
      </c>
      <c r="X272" s="3">
        <v>0</v>
      </c>
      <c r="Y272" s="3">
        <v>0</v>
      </c>
      <c r="Z272" s="3">
        <v>0</v>
      </c>
      <c r="AA272" s="3">
        <v>41445</v>
      </c>
      <c r="AB272" s="5">
        <v>0</v>
      </c>
      <c r="AC272" s="3">
        <v>12217</v>
      </c>
      <c r="AD272" s="13">
        <f t="shared" si="28"/>
        <v>6044</v>
      </c>
      <c r="AE272" s="13">
        <f t="shared" si="29"/>
        <v>12217</v>
      </c>
      <c r="AF272" s="13">
        <f t="shared" si="30"/>
        <v>41445</v>
      </c>
      <c r="AG272" s="13">
        <f t="shared" si="31"/>
        <v>56530</v>
      </c>
      <c r="AH272" s="13">
        <f t="shared" si="32"/>
        <v>65076</v>
      </c>
      <c r="AI272" s="13">
        <f t="shared" si="33"/>
        <v>157466</v>
      </c>
    </row>
    <row r="273" spans="1:35" x14ac:dyDescent="0.25">
      <c r="A273" s="6" t="s">
        <v>297</v>
      </c>
      <c r="B273" s="2">
        <v>11</v>
      </c>
      <c r="C273" s="2" t="s">
        <v>308</v>
      </c>
      <c r="D273" s="3">
        <v>0</v>
      </c>
      <c r="E273" s="3">
        <v>2093</v>
      </c>
      <c r="F273" s="3">
        <v>0</v>
      </c>
      <c r="G273" s="3">
        <v>2372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10">
        <v>0</v>
      </c>
      <c r="N273" s="3">
        <v>0</v>
      </c>
      <c r="O273" s="3">
        <v>0</v>
      </c>
      <c r="P273" s="9">
        <v>0</v>
      </c>
      <c r="Q273" s="3">
        <v>0</v>
      </c>
      <c r="R273" s="3">
        <v>3235</v>
      </c>
      <c r="S273" s="3">
        <v>1046</v>
      </c>
      <c r="T273" s="3">
        <v>0</v>
      </c>
      <c r="U273" s="3">
        <v>0</v>
      </c>
      <c r="V273" s="3">
        <v>0</v>
      </c>
      <c r="W273" s="10">
        <v>0</v>
      </c>
      <c r="X273" s="3">
        <v>0</v>
      </c>
      <c r="Y273" s="3">
        <v>0</v>
      </c>
      <c r="Z273" s="3">
        <v>0</v>
      </c>
      <c r="AA273" s="3">
        <v>0</v>
      </c>
      <c r="AB273" s="5">
        <v>0</v>
      </c>
      <c r="AC273" s="3">
        <v>15151</v>
      </c>
      <c r="AD273" s="13">
        <f t="shared" si="28"/>
        <v>8746</v>
      </c>
      <c r="AE273" s="13">
        <f t="shared" si="29"/>
        <v>15151</v>
      </c>
      <c r="AF273" s="13">
        <f t="shared" si="30"/>
        <v>0</v>
      </c>
      <c r="AG273" s="13">
        <f t="shared" si="31"/>
        <v>65276</v>
      </c>
      <c r="AH273" s="13">
        <f t="shared" si="32"/>
        <v>80227</v>
      </c>
      <c r="AI273" s="13">
        <f t="shared" si="33"/>
        <v>157466</v>
      </c>
    </row>
    <row r="274" spans="1:35" x14ac:dyDescent="0.25">
      <c r="A274" s="6" t="s">
        <v>297</v>
      </c>
      <c r="B274" s="2">
        <v>12</v>
      </c>
      <c r="C274" s="2" t="s">
        <v>309</v>
      </c>
      <c r="D274" s="3">
        <v>0</v>
      </c>
      <c r="E274" s="3">
        <v>1045</v>
      </c>
      <c r="F274" s="3">
        <v>0</v>
      </c>
      <c r="G274" s="3">
        <v>2201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10">
        <v>0</v>
      </c>
      <c r="N274" s="3">
        <v>0</v>
      </c>
      <c r="O274" s="3">
        <v>0</v>
      </c>
      <c r="P274" s="9">
        <v>0</v>
      </c>
      <c r="Q274" s="3">
        <v>0</v>
      </c>
      <c r="R274" s="3">
        <v>3251</v>
      </c>
      <c r="S274" s="3">
        <v>1262</v>
      </c>
      <c r="T274" s="3">
        <v>0</v>
      </c>
      <c r="U274" s="3">
        <v>0</v>
      </c>
      <c r="V274" s="3">
        <v>0</v>
      </c>
      <c r="W274" s="10">
        <v>0</v>
      </c>
      <c r="X274" s="3">
        <v>0</v>
      </c>
      <c r="Y274" s="3">
        <v>0</v>
      </c>
      <c r="Z274" s="3">
        <v>0</v>
      </c>
      <c r="AA274" s="3">
        <v>0</v>
      </c>
      <c r="AB274" s="5">
        <v>0</v>
      </c>
      <c r="AC274" s="3">
        <v>13908</v>
      </c>
      <c r="AD274" s="13">
        <f t="shared" si="28"/>
        <v>7759</v>
      </c>
      <c r="AE274" s="13">
        <f t="shared" si="29"/>
        <v>13908</v>
      </c>
      <c r="AF274" s="13">
        <f t="shared" si="30"/>
        <v>0</v>
      </c>
      <c r="AG274" s="13">
        <f t="shared" si="31"/>
        <v>73035</v>
      </c>
      <c r="AH274" s="13">
        <f t="shared" si="32"/>
        <v>94135</v>
      </c>
      <c r="AI274" s="13">
        <f t="shared" si="33"/>
        <v>157466</v>
      </c>
    </row>
    <row r="275" spans="1:35" x14ac:dyDescent="0.25">
      <c r="A275" s="6" t="s">
        <v>297</v>
      </c>
      <c r="B275" s="2">
        <v>13</v>
      </c>
      <c r="C275" s="2" t="s">
        <v>310</v>
      </c>
      <c r="D275" s="3">
        <v>0</v>
      </c>
      <c r="E275" s="3">
        <v>1177</v>
      </c>
      <c r="F275" s="3">
        <v>0</v>
      </c>
      <c r="G275" s="3">
        <v>1565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10">
        <v>0</v>
      </c>
      <c r="N275" s="3">
        <v>0</v>
      </c>
      <c r="O275" s="3">
        <v>0</v>
      </c>
      <c r="P275" s="9">
        <v>0</v>
      </c>
      <c r="Q275" s="3">
        <v>0</v>
      </c>
      <c r="R275" s="3">
        <v>3267</v>
      </c>
      <c r="S275" s="3">
        <v>535</v>
      </c>
      <c r="T275" s="3">
        <v>0</v>
      </c>
      <c r="U275" s="3">
        <v>0</v>
      </c>
      <c r="V275" s="3">
        <v>0</v>
      </c>
      <c r="W275" s="10">
        <v>0</v>
      </c>
      <c r="X275" s="3">
        <v>0</v>
      </c>
      <c r="Y275" s="3">
        <v>0</v>
      </c>
      <c r="Z275" s="3">
        <v>50255</v>
      </c>
      <c r="AA275" s="3">
        <v>0</v>
      </c>
      <c r="AB275" s="5">
        <v>0</v>
      </c>
      <c r="AC275" s="3">
        <v>11527</v>
      </c>
      <c r="AD275" s="13">
        <f t="shared" si="28"/>
        <v>6544</v>
      </c>
      <c r="AE275" s="13">
        <f t="shared" si="29"/>
        <v>11527</v>
      </c>
      <c r="AF275" s="13">
        <f t="shared" si="30"/>
        <v>50255</v>
      </c>
      <c r="AG275" s="13">
        <f t="shared" si="31"/>
        <v>79579</v>
      </c>
      <c r="AH275" s="13">
        <f t="shared" si="32"/>
        <v>105662</v>
      </c>
      <c r="AI275" s="13">
        <f t="shared" si="33"/>
        <v>207721</v>
      </c>
    </row>
    <row r="276" spans="1:35" x14ac:dyDescent="0.25">
      <c r="A276" s="6" t="s">
        <v>297</v>
      </c>
      <c r="B276" s="2">
        <v>14</v>
      </c>
      <c r="C276" s="2" t="s">
        <v>311</v>
      </c>
      <c r="D276" s="3">
        <v>0</v>
      </c>
      <c r="E276" s="3">
        <v>1648</v>
      </c>
      <c r="F276" s="3">
        <v>0</v>
      </c>
      <c r="G276" s="3">
        <v>1829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10">
        <v>0</v>
      </c>
      <c r="N276" s="3">
        <v>0</v>
      </c>
      <c r="O276" s="3">
        <v>0</v>
      </c>
      <c r="P276" s="9">
        <v>0</v>
      </c>
      <c r="Q276" s="3">
        <v>0</v>
      </c>
      <c r="R276" s="3">
        <v>2555</v>
      </c>
      <c r="S276" s="3">
        <v>1862</v>
      </c>
      <c r="T276" s="3">
        <v>0</v>
      </c>
      <c r="U276" s="3">
        <v>0</v>
      </c>
      <c r="V276" s="3">
        <v>0</v>
      </c>
      <c r="W276" s="10">
        <v>0</v>
      </c>
      <c r="X276" s="3">
        <v>0</v>
      </c>
      <c r="Y276" s="3">
        <v>0</v>
      </c>
      <c r="Z276" s="3">
        <v>0</v>
      </c>
      <c r="AA276" s="3">
        <v>0</v>
      </c>
      <c r="AB276" s="5">
        <v>0</v>
      </c>
      <c r="AC276" s="3">
        <v>11707</v>
      </c>
      <c r="AD276" s="13">
        <f t="shared" si="28"/>
        <v>7894</v>
      </c>
      <c r="AE276" s="13">
        <f t="shared" si="29"/>
        <v>11707</v>
      </c>
      <c r="AF276" s="13">
        <f t="shared" si="30"/>
        <v>0</v>
      </c>
      <c r="AG276" s="13">
        <f t="shared" si="31"/>
        <v>87473</v>
      </c>
      <c r="AH276" s="13">
        <f t="shared" si="32"/>
        <v>117369</v>
      </c>
      <c r="AI276" s="13">
        <f t="shared" si="33"/>
        <v>207721</v>
      </c>
    </row>
    <row r="277" spans="1:35" x14ac:dyDescent="0.25">
      <c r="A277" s="6" t="s">
        <v>297</v>
      </c>
      <c r="B277" s="2">
        <v>15</v>
      </c>
      <c r="C277" s="2" t="s">
        <v>312</v>
      </c>
      <c r="D277" s="3">
        <v>0</v>
      </c>
      <c r="E277" s="3">
        <v>2252</v>
      </c>
      <c r="F277" s="3">
        <v>0</v>
      </c>
      <c r="G277" s="3">
        <v>3095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10">
        <v>0</v>
      </c>
      <c r="N277" s="3">
        <v>0</v>
      </c>
      <c r="O277" s="3">
        <v>0</v>
      </c>
      <c r="P277" s="9">
        <v>0</v>
      </c>
      <c r="Q277" s="3">
        <v>0</v>
      </c>
      <c r="R277" s="3">
        <v>3514</v>
      </c>
      <c r="S277" s="3">
        <v>215</v>
      </c>
      <c r="T277" s="3">
        <v>0</v>
      </c>
      <c r="U277" s="3">
        <v>0</v>
      </c>
      <c r="V277" s="3">
        <v>0</v>
      </c>
      <c r="W277" s="10">
        <v>0</v>
      </c>
      <c r="X277" s="3">
        <v>0</v>
      </c>
      <c r="Y277" s="3">
        <v>0</v>
      </c>
      <c r="Z277" s="3">
        <v>0</v>
      </c>
      <c r="AA277" s="3">
        <v>0</v>
      </c>
      <c r="AB277" s="5">
        <v>0</v>
      </c>
      <c r="AC277" s="3">
        <v>9325</v>
      </c>
      <c r="AD277" s="13">
        <f t="shared" si="28"/>
        <v>9076</v>
      </c>
      <c r="AE277" s="13">
        <f t="shared" si="29"/>
        <v>9325</v>
      </c>
      <c r="AF277" s="13">
        <f t="shared" si="30"/>
        <v>0</v>
      </c>
      <c r="AG277" s="13">
        <f t="shared" si="31"/>
        <v>96549</v>
      </c>
      <c r="AH277" s="13">
        <f t="shared" si="32"/>
        <v>126694</v>
      </c>
      <c r="AI277" s="13">
        <f t="shared" si="33"/>
        <v>207721</v>
      </c>
    </row>
    <row r="278" spans="1:35" x14ac:dyDescent="0.25">
      <c r="A278" s="6" t="s">
        <v>297</v>
      </c>
      <c r="B278" s="2">
        <v>16</v>
      </c>
      <c r="C278" s="2" t="s">
        <v>313</v>
      </c>
      <c r="D278" s="3">
        <v>0</v>
      </c>
      <c r="E278" s="3">
        <v>1494</v>
      </c>
      <c r="F278" s="3">
        <v>0</v>
      </c>
      <c r="G278" s="3">
        <v>2077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10">
        <v>0</v>
      </c>
      <c r="N278" s="3">
        <v>0</v>
      </c>
      <c r="O278" s="3">
        <v>0</v>
      </c>
      <c r="P278" s="9">
        <v>0</v>
      </c>
      <c r="Q278" s="3">
        <v>0</v>
      </c>
      <c r="R278" s="3">
        <v>874</v>
      </c>
      <c r="S278" s="3">
        <v>714</v>
      </c>
      <c r="T278" s="3">
        <v>0</v>
      </c>
      <c r="U278" s="3">
        <v>0</v>
      </c>
      <c r="V278" s="3">
        <v>0</v>
      </c>
      <c r="W278" s="10">
        <v>0</v>
      </c>
      <c r="X278" s="3">
        <v>0</v>
      </c>
      <c r="Y278" s="3">
        <v>0</v>
      </c>
      <c r="Z278" s="3">
        <v>0</v>
      </c>
      <c r="AA278" s="3">
        <v>0</v>
      </c>
      <c r="AB278" s="5">
        <v>0</v>
      </c>
      <c r="AC278" s="3">
        <v>8265</v>
      </c>
      <c r="AD278" s="13">
        <f t="shared" si="28"/>
        <v>5159</v>
      </c>
      <c r="AE278" s="13">
        <f t="shared" si="29"/>
        <v>8265</v>
      </c>
      <c r="AF278" s="13">
        <f t="shared" si="30"/>
        <v>0</v>
      </c>
      <c r="AG278" s="13">
        <f t="shared" si="31"/>
        <v>101708</v>
      </c>
      <c r="AH278" s="13">
        <f t="shared" si="32"/>
        <v>134959</v>
      </c>
      <c r="AI278" s="13">
        <f t="shared" si="33"/>
        <v>207721</v>
      </c>
    </row>
    <row r="279" spans="1:35" x14ac:dyDescent="0.25">
      <c r="A279" s="6" t="s">
        <v>297</v>
      </c>
      <c r="B279" s="2">
        <v>17</v>
      </c>
      <c r="C279" s="2" t="s">
        <v>314</v>
      </c>
      <c r="D279" s="3">
        <v>0</v>
      </c>
      <c r="E279" s="3">
        <v>1006</v>
      </c>
      <c r="F279" s="3">
        <v>0</v>
      </c>
      <c r="G279" s="3">
        <v>1974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10">
        <v>0</v>
      </c>
      <c r="N279" s="3">
        <v>0</v>
      </c>
      <c r="O279" s="3">
        <v>0</v>
      </c>
      <c r="P279" s="9">
        <v>0</v>
      </c>
      <c r="Q279" s="3">
        <v>0</v>
      </c>
      <c r="R279" s="3">
        <v>1022</v>
      </c>
      <c r="S279" s="3">
        <v>983</v>
      </c>
      <c r="T279" s="3">
        <v>0</v>
      </c>
      <c r="U279" s="3">
        <v>0</v>
      </c>
      <c r="V279" s="3">
        <v>0</v>
      </c>
      <c r="W279" s="10">
        <v>0</v>
      </c>
      <c r="X279" s="3">
        <v>0</v>
      </c>
      <c r="Y279" s="3">
        <v>0</v>
      </c>
      <c r="Z279" s="3">
        <v>0</v>
      </c>
      <c r="AA279" s="3">
        <v>0</v>
      </c>
      <c r="AB279" s="5">
        <v>0</v>
      </c>
      <c r="AC279" s="3">
        <v>6520</v>
      </c>
      <c r="AD279" s="13">
        <f t="shared" si="28"/>
        <v>4985</v>
      </c>
      <c r="AE279" s="13">
        <f t="shared" si="29"/>
        <v>6520</v>
      </c>
      <c r="AF279" s="13">
        <f t="shared" si="30"/>
        <v>0</v>
      </c>
      <c r="AG279" s="13">
        <f t="shared" si="31"/>
        <v>106693</v>
      </c>
      <c r="AH279" s="13">
        <f t="shared" si="32"/>
        <v>141479</v>
      </c>
      <c r="AI279" s="13">
        <f t="shared" si="33"/>
        <v>207721</v>
      </c>
    </row>
    <row r="280" spans="1:35" x14ac:dyDescent="0.25">
      <c r="A280" s="6" t="s">
        <v>297</v>
      </c>
      <c r="B280" s="2">
        <v>18</v>
      </c>
      <c r="C280" s="2" t="s">
        <v>315</v>
      </c>
      <c r="D280" s="3">
        <v>0</v>
      </c>
      <c r="E280" s="3">
        <v>1157</v>
      </c>
      <c r="F280" s="3">
        <v>0</v>
      </c>
      <c r="G280" s="3">
        <v>1714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10">
        <v>0</v>
      </c>
      <c r="N280" s="3">
        <v>0</v>
      </c>
      <c r="O280" s="3">
        <v>0</v>
      </c>
      <c r="P280" s="9">
        <v>0</v>
      </c>
      <c r="Q280" s="3">
        <v>0</v>
      </c>
      <c r="R280" s="3">
        <v>1627</v>
      </c>
      <c r="S280" s="3">
        <v>1088</v>
      </c>
      <c r="T280" s="3">
        <v>0</v>
      </c>
      <c r="U280" s="3">
        <v>0</v>
      </c>
      <c r="V280" s="3">
        <v>0</v>
      </c>
      <c r="W280" s="10">
        <v>0</v>
      </c>
      <c r="X280" s="3">
        <v>0</v>
      </c>
      <c r="Y280" s="3">
        <v>0</v>
      </c>
      <c r="Z280" s="3">
        <v>0</v>
      </c>
      <c r="AA280" s="3">
        <v>0</v>
      </c>
      <c r="AB280" s="5">
        <v>0</v>
      </c>
      <c r="AC280" s="3">
        <v>2699</v>
      </c>
      <c r="AD280" s="13">
        <f t="shared" si="28"/>
        <v>5586</v>
      </c>
      <c r="AE280" s="13">
        <f t="shared" si="29"/>
        <v>2699</v>
      </c>
      <c r="AF280" s="13">
        <f t="shared" si="30"/>
        <v>0</v>
      </c>
      <c r="AG280" s="13">
        <f t="shared" si="31"/>
        <v>112279</v>
      </c>
      <c r="AH280" s="13">
        <f t="shared" si="32"/>
        <v>144178</v>
      </c>
      <c r="AI280" s="13">
        <f t="shared" si="33"/>
        <v>207721</v>
      </c>
    </row>
    <row r="281" spans="1:35" x14ac:dyDescent="0.25">
      <c r="A281" s="6" t="s">
        <v>297</v>
      </c>
      <c r="B281" s="2">
        <v>19</v>
      </c>
      <c r="C281" s="2" t="s">
        <v>316</v>
      </c>
      <c r="D281" s="3">
        <v>0</v>
      </c>
      <c r="E281" s="3">
        <v>1578</v>
      </c>
      <c r="F281" s="3">
        <v>0</v>
      </c>
      <c r="G281" s="3">
        <v>1935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10">
        <v>0</v>
      </c>
      <c r="N281" s="3">
        <v>0</v>
      </c>
      <c r="O281" s="3">
        <v>0</v>
      </c>
      <c r="P281" s="9">
        <v>0</v>
      </c>
      <c r="Q281" s="3">
        <v>0</v>
      </c>
      <c r="R281" s="3">
        <v>526</v>
      </c>
      <c r="S281" s="3">
        <v>908</v>
      </c>
      <c r="T281" s="3">
        <v>0</v>
      </c>
      <c r="U281" s="3">
        <v>0</v>
      </c>
      <c r="V281" s="3">
        <v>0</v>
      </c>
      <c r="W281" s="10">
        <v>0</v>
      </c>
      <c r="X281" s="3">
        <v>0</v>
      </c>
      <c r="Y281" s="3">
        <v>0</v>
      </c>
      <c r="Z281" s="3">
        <v>0</v>
      </c>
      <c r="AA281" s="3">
        <v>0</v>
      </c>
      <c r="AB281" s="5">
        <v>0</v>
      </c>
      <c r="AC281" s="3">
        <v>2747</v>
      </c>
      <c r="AD281" s="13">
        <f t="shared" si="28"/>
        <v>4947</v>
      </c>
      <c r="AE281" s="13">
        <f t="shared" si="29"/>
        <v>2747</v>
      </c>
      <c r="AF281" s="13">
        <f t="shared" si="30"/>
        <v>0</v>
      </c>
      <c r="AG281" s="13">
        <f t="shared" si="31"/>
        <v>117226</v>
      </c>
      <c r="AH281" s="13">
        <f t="shared" si="32"/>
        <v>146925</v>
      </c>
      <c r="AI281" s="13">
        <f t="shared" si="33"/>
        <v>207721</v>
      </c>
    </row>
    <row r="282" spans="1:35" x14ac:dyDescent="0.25">
      <c r="A282" s="6" t="s">
        <v>297</v>
      </c>
      <c r="B282" s="2">
        <v>20</v>
      </c>
      <c r="C282" s="2" t="s">
        <v>317</v>
      </c>
      <c r="D282" s="3">
        <v>0</v>
      </c>
      <c r="E282" s="3">
        <v>2361</v>
      </c>
      <c r="F282" s="3">
        <v>0</v>
      </c>
      <c r="G282" s="3">
        <v>1748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10">
        <v>0</v>
      </c>
      <c r="N282" s="3">
        <v>0</v>
      </c>
      <c r="O282" s="3">
        <v>0</v>
      </c>
      <c r="P282" s="9">
        <v>0</v>
      </c>
      <c r="Q282" s="3">
        <v>0</v>
      </c>
      <c r="R282" s="3">
        <v>1837</v>
      </c>
      <c r="S282" s="3">
        <v>1054</v>
      </c>
      <c r="T282" s="3">
        <v>0</v>
      </c>
      <c r="U282" s="3">
        <v>0</v>
      </c>
      <c r="V282" s="3">
        <v>0</v>
      </c>
      <c r="W282" s="10">
        <v>0</v>
      </c>
      <c r="X282" s="3">
        <v>0</v>
      </c>
      <c r="Y282" s="3">
        <v>0</v>
      </c>
      <c r="Z282" s="3">
        <v>0</v>
      </c>
      <c r="AA282" s="3">
        <v>0</v>
      </c>
      <c r="AB282" s="5">
        <v>0</v>
      </c>
      <c r="AC282" s="3">
        <v>6732</v>
      </c>
      <c r="AD282" s="13">
        <f t="shared" si="28"/>
        <v>7000</v>
      </c>
      <c r="AE282" s="13">
        <f t="shared" si="29"/>
        <v>6732</v>
      </c>
      <c r="AF282" s="13">
        <f t="shared" si="30"/>
        <v>0</v>
      </c>
      <c r="AG282" s="13">
        <f t="shared" si="31"/>
        <v>124226</v>
      </c>
      <c r="AH282" s="13">
        <f t="shared" si="32"/>
        <v>153657</v>
      </c>
      <c r="AI282" s="13">
        <f t="shared" si="33"/>
        <v>207721</v>
      </c>
    </row>
    <row r="283" spans="1:35" x14ac:dyDescent="0.25">
      <c r="A283" s="6" t="s">
        <v>297</v>
      </c>
      <c r="B283" s="2">
        <v>21</v>
      </c>
      <c r="C283" s="2" t="s">
        <v>318</v>
      </c>
      <c r="D283" s="3">
        <v>0</v>
      </c>
      <c r="E283" s="3">
        <v>490</v>
      </c>
      <c r="F283" s="3">
        <v>0</v>
      </c>
      <c r="G283" s="3">
        <v>1543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10">
        <v>0</v>
      </c>
      <c r="N283" s="3">
        <v>0</v>
      </c>
      <c r="O283" s="3">
        <v>0</v>
      </c>
      <c r="P283" s="9">
        <v>0</v>
      </c>
      <c r="Q283" s="3">
        <v>0</v>
      </c>
      <c r="R283" s="3">
        <v>1168</v>
      </c>
      <c r="S283" s="3">
        <v>1287</v>
      </c>
      <c r="T283" s="3">
        <v>0</v>
      </c>
      <c r="U283" s="3">
        <v>0</v>
      </c>
      <c r="V283" s="3">
        <v>0</v>
      </c>
      <c r="W283" s="10">
        <v>0</v>
      </c>
      <c r="X283" s="3">
        <v>0</v>
      </c>
      <c r="Y283" s="3">
        <v>0</v>
      </c>
      <c r="Z283" s="3">
        <v>0</v>
      </c>
      <c r="AA283" s="3">
        <v>0</v>
      </c>
      <c r="AB283" s="5">
        <v>0</v>
      </c>
      <c r="AC283" s="3">
        <v>7960</v>
      </c>
      <c r="AD283" s="13">
        <f t="shared" si="28"/>
        <v>4488</v>
      </c>
      <c r="AE283" s="13">
        <f t="shared" si="29"/>
        <v>7960</v>
      </c>
      <c r="AF283" s="13">
        <f t="shared" si="30"/>
        <v>0</v>
      </c>
      <c r="AG283" s="13">
        <f t="shared" si="31"/>
        <v>128714</v>
      </c>
      <c r="AH283" s="13">
        <f t="shared" si="32"/>
        <v>161617</v>
      </c>
      <c r="AI283" s="13">
        <f t="shared" si="33"/>
        <v>207721</v>
      </c>
    </row>
    <row r="284" spans="1:35" x14ac:dyDescent="0.25">
      <c r="A284" s="6" t="s">
        <v>297</v>
      </c>
      <c r="B284" s="2">
        <v>22</v>
      </c>
      <c r="C284" s="2" t="s">
        <v>319</v>
      </c>
      <c r="D284" s="3">
        <v>0</v>
      </c>
      <c r="E284" s="3">
        <v>1875</v>
      </c>
      <c r="F284" s="3">
        <v>0</v>
      </c>
      <c r="G284" s="3">
        <v>2348</v>
      </c>
      <c r="H284" s="3">
        <v>480</v>
      </c>
      <c r="I284" s="3">
        <v>0</v>
      </c>
      <c r="J284" s="3">
        <v>0</v>
      </c>
      <c r="K284" s="3">
        <v>0</v>
      </c>
      <c r="L284" s="3">
        <v>0</v>
      </c>
      <c r="M284" s="10">
        <v>0</v>
      </c>
      <c r="N284" s="3">
        <v>0</v>
      </c>
      <c r="O284" s="3">
        <v>0</v>
      </c>
      <c r="P284" s="9">
        <v>0</v>
      </c>
      <c r="Q284" s="3">
        <v>0</v>
      </c>
      <c r="R284" s="3">
        <v>2391</v>
      </c>
      <c r="S284" s="3">
        <v>1426</v>
      </c>
      <c r="T284" s="3">
        <v>0</v>
      </c>
      <c r="U284" s="3">
        <v>0</v>
      </c>
      <c r="V284" s="3">
        <v>0</v>
      </c>
      <c r="W284" s="10">
        <v>0</v>
      </c>
      <c r="X284" s="3">
        <v>0</v>
      </c>
      <c r="Y284" s="3">
        <v>0</v>
      </c>
      <c r="Z284" s="3">
        <v>0</v>
      </c>
      <c r="AA284" s="3">
        <v>0</v>
      </c>
      <c r="AB284" s="5">
        <v>0</v>
      </c>
      <c r="AC284" s="3">
        <v>9114</v>
      </c>
      <c r="AD284" s="13">
        <f t="shared" si="28"/>
        <v>8040</v>
      </c>
      <c r="AE284" s="13">
        <f t="shared" si="29"/>
        <v>9114</v>
      </c>
      <c r="AF284" s="13">
        <f t="shared" si="30"/>
        <v>480</v>
      </c>
      <c r="AG284" s="13">
        <f t="shared" si="31"/>
        <v>136754</v>
      </c>
      <c r="AH284" s="13">
        <f t="shared" si="32"/>
        <v>170731</v>
      </c>
      <c r="AI284" s="13">
        <f t="shared" si="33"/>
        <v>208201</v>
      </c>
    </row>
    <row r="285" spans="1:35" x14ac:dyDescent="0.25">
      <c r="A285" s="6" t="s">
        <v>297</v>
      </c>
      <c r="B285" s="2">
        <v>23</v>
      </c>
      <c r="C285" s="2" t="s">
        <v>320</v>
      </c>
      <c r="D285" s="3">
        <v>0</v>
      </c>
      <c r="E285" s="3">
        <v>1154</v>
      </c>
      <c r="F285" s="3">
        <v>0</v>
      </c>
      <c r="G285" s="3">
        <v>2091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10">
        <v>0</v>
      </c>
      <c r="N285" s="3">
        <v>2</v>
      </c>
      <c r="O285" s="3">
        <v>0</v>
      </c>
      <c r="P285" s="9">
        <v>0</v>
      </c>
      <c r="Q285" s="3">
        <v>0</v>
      </c>
      <c r="R285" s="3">
        <v>1154</v>
      </c>
      <c r="S285" s="3">
        <v>766</v>
      </c>
      <c r="T285" s="3">
        <v>0</v>
      </c>
      <c r="U285" s="3">
        <v>0</v>
      </c>
      <c r="V285" s="3">
        <v>0</v>
      </c>
      <c r="W285" s="10">
        <v>0</v>
      </c>
      <c r="X285" s="3">
        <v>0</v>
      </c>
      <c r="Y285" s="3">
        <v>0</v>
      </c>
      <c r="Z285" s="3">
        <v>0</v>
      </c>
      <c r="AA285" s="3">
        <v>0</v>
      </c>
      <c r="AB285" s="5">
        <v>0</v>
      </c>
      <c r="AC285" s="3">
        <v>7896</v>
      </c>
      <c r="AD285" s="13">
        <f t="shared" si="28"/>
        <v>5167</v>
      </c>
      <c r="AE285" s="13">
        <f t="shared" si="29"/>
        <v>7896</v>
      </c>
      <c r="AF285" s="13">
        <f t="shared" si="30"/>
        <v>0</v>
      </c>
      <c r="AG285" s="13">
        <f t="shared" si="31"/>
        <v>141921</v>
      </c>
      <c r="AH285" s="13">
        <f t="shared" si="32"/>
        <v>178627</v>
      </c>
      <c r="AI285" s="13">
        <f t="shared" si="33"/>
        <v>208201</v>
      </c>
    </row>
    <row r="286" spans="1:35" x14ac:dyDescent="0.25">
      <c r="A286" s="6" t="s">
        <v>297</v>
      </c>
      <c r="B286" s="2">
        <v>24</v>
      </c>
      <c r="C286" s="2" t="s">
        <v>321</v>
      </c>
      <c r="D286" s="3">
        <v>0</v>
      </c>
      <c r="E286" s="3">
        <v>1570</v>
      </c>
      <c r="F286" s="3">
        <v>0</v>
      </c>
      <c r="G286" s="3">
        <v>1934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10">
        <v>0</v>
      </c>
      <c r="N286" s="3">
        <v>0</v>
      </c>
      <c r="O286" s="3">
        <v>0</v>
      </c>
      <c r="P286" s="9">
        <v>0</v>
      </c>
      <c r="Q286" s="3">
        <v>0</v>
      </c>
      <c r="R286" s="3">
        <v>1035</v>
      </c>
      <c r="S286" s="3">
        <v>733</v>
      </c>
      <c r="T286" s="3">
        <v>0</v>
      </c>
      <c r="U286" s="3">
        <v>0</v>
      </c>
      <c r="V286" s="3">
        <v>0</v>
      </c>
      <c r="W286" s="10">
        <v>0</v>
      </c>
      <c r="X286" s="3">
        <v>0</v>
      </c>
      <c r="Y286" s="3">
        <v>0</v>
      </c>
      <c r="Z286" s="3">
        <v>0</v>
      </c>
      <c r="AA286" s="3">
        <v>0</v>
      </c>
      <c r="AB286" s="5">
        <v>0</v>
      </c>
      <c r="AC286" s="3">
        <v>7748</v>
      </c>
      <c r="AD286" s="13">
        <f t="shared" si="28"/>
        <v>5272</v>
      </c>
      <c r="AE286" s="13">
        <f t="shared" si="29"/>
        <v>7748</v>
      </c>
      <c r="AF286" s="13">
        <f t="shared" si="30"/>
        <v>0</v>
      </c>
      <c r="AG286" s="13">
        <f t="shared" si="31"/>
        <v>147193</v>
      </c>
      <c r="AH286" s="13">
        <f t="shared" si="32"/>
        <v>186375</v>
      </c>
      <c r="AI286" s="13">
        <f t="shared" si="33"/>
        <v>208201</v>
      </c>
    </row>
    <row r="287" spans="1:35" x14ac:dyDescent="0.25">
      <c r="A287" s="6" t="s">
        <v>297</v>
      </c>
      <c r="B287" s="2">
        <v>25</v>
      </c>
      <c r="C287" s="2" t="s">
        <v>322</v>
      </c>
      <c r="D287" s="3">
        <v>0</v>
      </c>
      <c r="E287" s="3">
        <v>480</v>
      </c>
      <c r="F287" s="3">
        <v>0</v>
      </c>
      <c r="G287" s="3">
        <v>3702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10">
        <v>0</v>
      </c>
      <c r="N287" s="3">
        <v>3</v>
      </c>
      <c r="O287" s="3">
        <v>0</v>
      </c>
      <c r="P287" s="9">
        <v>0</v>
      </c>
      <c r="Q287" s="3">
        <v>0</v>
      </c>
      <c r="R287" s="3">
        <v>1388</v>
      </c>
      <c r="S287" s="3">
        <v>1492</v>
      </c>
      <c r="T287" s="3">
        <v>0</v>
      </c>
      <c r="U287" s="3">
        <v>0</v>
      </c>
      <c r="V287" s="3">
        <v>0</v>
      </c>
      <c r="W287" s="10">
        <v>0</v>
      </c>
      <c r="X287" s="3">
        <v>0</v>
      </c>
      <c r="Y287" s="3">
        <v>0</v>
      </c>
      <c r="Z287" s="3">
        <v>0</v>
      </c>
      <c r="AA287" s="3">
        <v>0</v>
      </c>
      <c r="AB287" s="5">
        <v>0</v>
      </c>
      <c r="AC287" s="3">
        <v>5647</v>
      </c>
      <c r="AD287" s="13">
        <f t="shared" si="28"/>
        <v>7065</v>
      </c>
      <c r="AE287" s="13">
        <f t="shared" si="29"/>
        <v>5647</v>
      </c>
      <c r="AF287" s="13">
        <f t="shared" si="30"/>
        <v>0</v>
      </c>
      <c r="AG287" s="13">
        <f t="shared" si="31"/>
        <v>154258</v>
      </c>
      <c r="AH287" s="13">
        <f t="shared" si="32"/>
        <v>192022</v>
      </c>
      <c r="AI287" s="13">
        <f t="shared" si="33"/>
        <v>208201</v>
      </c>
    </row>
    <row r="288" spans="1:35" x14ac:dyDescent="0.25">
      <c r="A288" s="6" t="s">
        <v>297</v>
      </c>
      <c r="B288" s="2">
        <v>26</v>
      </c>
      <c r="C288" s="2" t="s">
        <v>323</v>
      </c>
      <c r="D288" s="3">
        <v>0</v>
      </c>
      <c r="E288" s="3">
        <v>997</v>
      </c>
      <c r="F288" s="3">
        <v>0</v>
      </c>
      <c r="G288" s="3">
        <v>2146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10">
        <v>0</v>
      </c>
      <c r="N288" s="3">
        <v>0</v>
      </c>
      <c r="O288" s="3">
        <v>0</v>
      </c>
      <c r="P288" s="9">
        <v>0</v>
      </c>
      <c r="Q288" s="3">
        <v>0</v>
      </c>
      <c r="R288" s="3">
        <v>2208</v>
      </c>
      <c r="S288" s="3">
        <v>1123</v>
      </c>
      <c r="T288" s="3">
        <v>0</v>
      </c>
      <c r="U288" s="3">
        <v>0</v>
      </c>
      <c r="V288" s="3">
        <v>0</v>
      </c>
      <c r="W288" s="10">
        <v>0</v>
      </c>
      <c r="X288" s="3">
        <v>0</v>
      </c>
      <c r="Y288" s="3">
        <v>0</v>
      </c>
      <c r="Z288" s="3">
        <v>0</v>
      </c>
      <c r="AA288" s="3">
        <v>0</v>
      </c>
      <c r="AB288" s="5">
        <v>0</v>
      </c>
      <c r="AC288" s="3">
        <v>4973</v>
      </c>
      <c r="AD288" s="13">
        <f t="shared" si="28"/>
        <v>6474</v>
      </c>
      <c r="AE288" s="13">
        <f t="shared" si="29"/>
        <v>4973</v>
      </c>
      <c r="AF288" s="13">
        <f t="shared" si="30"/>
        <v>0</v>
      </c>
      <c r="AG288" s="13">
        <f t="shared" si="31"/>
        <v>160732</v>
      </c>
      <c r="AH288" s="13">
        <f t="shared" si="32"/>
        <v>196995</v>
      </c>
      <c r="AI288" s="13">
        <f t="shared" si="33"/>
        <v>208201</v>
      </c>
    </row>
    <row r="289" spans="1:35" x14ac:dyDescent="0.25">
      <c r="A289" s="6" t="s">
        <v>297</v>
      </c>
      <c r="B289" s="2">
        <v>27</v>
      </c>
      <c r="C289" s="2" t="s">
        <v>324</v>
      </c>
      <c r="D289" s="3">
        <v>0</v>
      </c>
      <c r="E289" s="3">
        <v>651</v>
      </c>
      <c r="F289" s="3">
        <v>0</v>
      </c>
      <c r="G289" s="3">
        <v>2231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10">
        <v>0</v>
      </c>
      <c r="N289" s="3">
        <v>0</v>
      </c>
      <c r="O289" s="3">
        <v>796</v>
      </c>
      <c r="P289" s="9">
        <v>0</v>
      </c>
      <c r="Q289" s="3">
        <v>0</v>
      </c>
      <c r="R289" s="3">
        <v>1169</v>
      </c>
      <c r="S289" s="3">
        <v>1034</v>
      </c>
      <c r="T289" s="3">
        <v>0</v>
      </c>
      <c r="U289" s="3">
        <v>0</v>
      </c>
      <c r="V289" s="3">
        <v>0</v>
      </c>
      <c r="W289" s="10">
        <v>0</v>
      </c>
      <c r="X289" s="3">
        <v>0</v>
      </c>
      <c r="Y289" s="3">
        <v>0</v>
      </c>
      <c r="Z289" s="3">
        <v>0</v>
      </c>
      <c r="AA289" s="3">
        <v>0</v>
      </c>
      <c r="AB289" s="5">
        <v>0</v>
      </c>
      <c r="AC289" s="3">
        <v>7416</v>
      </c>
      <c r="AD289" s="13">
        <f t="shared" si="28"/>
        <v>5085</v>
      </c>
      <c r="AE289" s="13">
        <f t="shared" si="29"/>
        <v>7416</v>
      </c>
      <c r="AF289" s="13">
        <f t="shared" si="30"/>
        <v>796</v>
      </c>
      <c r="AG289" s="13">
        <f t="shared" si="31"/>
        <v>165817</v>
      </c>
      <c r="AH289" s="13">
        <f t="shared" si="32"/>
        <v>204411</v>
      </c>
      <c r="AI289" s="13">
        <f t="shared" si="33"/>
        <v>208997</v>
      </c>
    </row>
    <row r="290" spans="1:35" x14ac:dyDescent="0.25">
      <c r="A290" s="6" t="s">
        <v>297</v>
      </c>
      <c r="B290" s="2">
        <v>28</v>
      </c>
      <c r="C290" s="2" t="s">
        <v>325</v>
      </c>
      <c r="D290" s="3">
        <v>0</v>
      </c>
      <c r="E290" s="3">
        <v>35</v>
      </c>
      <c r="F290" s="3">
        <v>0</v>
      </c>
      <c r="G290" s="3">
        <v>2817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10">
        <v>0</v>
      </c>
      <c r="N290" s="3">
        <v>0</v>
      </c>
      <c r="O290" s="3">
        <v>0</v>
      </c>
      <c r="P290" s="9">
        <v>0</v>
      </c>
      <c r="Q290" s="3">
        <v>0</v>
      </c>
      <c r="R290" s="3">
        <v>1435</v>
      </c>
      <c r="S290" s="3">
        <v>176</v>
      </c>
      <c r="T290" s="3">
        <v>0</v>
      </c>
      <c r="U290" s="3">
        <v>0</v>
      </c>
      <c r="V290" s="3">
        <v>0</v>
      </c>
      <c r="W290" s="10">
        <v>0</v>
      </c>
      <c r="X290" s="3">
        <v>0</v>
      </c>
      <c r="Y290" s="3">
        <v>0</v>
      </c>
      <c r="Z290" s="3">
        <v>0</v>
      </c>
      <c r="AA290" s="3">
        <v>0</v>
      </c>
      <c r="AB290" s="5">
        <v>0</v>
      </c>
      <c r="AC290" s="3">
        <v>7142</v>
      </c>
      <c r="AD290" s="13">
        <f t="shared" si="28"/>
        <v>4463</v>
      </c>
      <c r="AE290" s="13">
        <f t="shared" si="29"/>
        <v>7142</v>
      </c>
      <c r="AF290" s="13">
        <f t="shared" si="30"/>
        <v>0</v>
      </c>
      <c r="AG290" s="13">
        <f t="shared" si="31"/>
        <v>170280</v>
      </c>
      <c r="AH290" s="13">
        <f t="shared" si="32"/>
        <v>211553</v>
      </c>
      <c r="AI290" s="13">
        <f t="shared" si="33"/>
        <v>208997</v>
      </c>
    </row>
    <row r="291" spans="1:35" x14ac:dyDescent="0.25">
      <c r="A291" s="6" t="s">
        <v>297</v>
      </c>
      <c r="B291" s="2">
        <v>29</v>
      </c>
      <c r="C291" s="2" t="s">
        <v>326</v>
      </c>
      <c r="D291" s="3">
        <v>0</v>
      </c>
      <c r="E291" s="3">
        <v>737</v>
      </c>
      <c r="F291" s="3">
        <v>0</v>
      </c>
      <c r="G291" s="3">
        <v>2906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10">
        <v>0</v>
      </c>
      <c r="N291" s="3">
        <v>0</v>
      </c>
      <c r="O291" s="3">
        <v>0</v>
      </c>
      <c r="P291" s="9">
        <v>0</v>
      </c>
      <c r="Q291" s="3">
        <v>0</v>
      </c>
      <c r="R291" s="3">
        <v>2513</v>
      </c>
      <c r="S291" s="3">
        <v>139</v>
      </c>
      <c r="T291" s="3">
        <v>0</v>
      </c>
      <c r="U291" s="3">
        <v>0</v>
      </c>
      <c r="V291" s="3">
        <v>0</v>
      </c>
      <c r="W291" s="10">
        <v>0</v>
      </c>
      <c r="X291" s="3">
        <v>0</v>
      </c>
      <c r="Y291" s="3">
        <v>0</v>
      </c>
      <c r="Z291" s="3">
        <v>0</v>
      </c>
      <c r="AA291" s="3">
        <v>0</v>
      </c>
      <c r="AB291" s="5">
        <v>0</v>
      </c>
      <c r="AC291" s="3">
        <v>8620</v>
      </c>
      <c r="AD291" s="13">
        <f t="shared" si="28"/>
        <v>6295</v>
      </c>
      <c r="AE291" s="13">
        <f t="shared" si="29"/>
        <v>8620</v>
      </c>
      <c r="AF291" s="13">
        <f t="shared" si="30"/>
        <v>0</v>
      </c>
      <c r="AG291" s="13">
        <f t="shared" si="31"/>
        <v>176575</v>
      </c>
      <c r="AH291" s="13">
        <f t="shared" si="32"/>
        <v>220173</v>
      </c>
      <c r="AI291" s="13">
        <f t="shared" si="33"/>
        <v>208997</v>
      </c>
    </row>
    <row r="292" spans="1:35" x14ac:dyDescent="0.25">
      <c r="A292" s="6" t="s">
        <v>297</v>
      </c>
      <c r="B292" s="2">
        <v>30</v>
      </c>
      <c r="C292" s="2" t="s">
        <v>327</v>
      </c>
      <c r="D292" s="3">
        <v>0</v>
      </c>
      <c r="E292" s="3">
        <v>1522</v>
      </c>
      <c r="F292" s="3">
        <v>0</v>
      </c>
      <c r="G292" s="3">
        <v>2709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10">
        <v>0</v>
      </c>
      <c r="N292" s="3">
        <v>0</v>
      </c>
      <c r="O292" s="3">
        <v>0</v>
      </c>
      <c r="P292" s="9">
        <v>0</v>
      </c>
      <c r="Q292" s="3">
        <v>0</v>
      </c>
      <c r="R292" s="3">
        <v>2056</v>
      </c>
      <c r="S292" s="3">
        <v>943</v>
      </c>
      <c r="T292" s="3">
        <v>0</v>
      </c>
      <c r="U292" s="3">
        <v>0</v>
      </c>
      <c r="V292" s="3">
        <v>0</v>
      </c>
      <c r="W292" s="10">
        <v>0</v>
      </c>
      <c r="X292" s="3">
        <v>0</v>
      </c>
      <c r="Y292" s="3">
        <v>0</v>
      </c>
      <c r="Z292" s="3">
        <v>0</v>
      </c>
      <c r="AA292" s="3">
        <v>0</v>
      </c>
      <c r="AB292" s="5">
        <v>0</v>
      </c>
      <c r="AC292" s="3">
        <v>9388</v>
      </c>
      <c r="AD292" s="13">
        <f t="shared" si="28"/>
        <v>7230</v>
      </c>
      <c r="AE292" s="13">
        <f t="shared" si="29"/>
        <v>9388</v>
      </c>
      <c r="AF292" s="13">
        <f t="shared" si="30"/>
        <v>0</v>
      </c>
      <c r="AG292" s="13">
        <f t="shared" si="31"/>
        <v>183805</v>
      </c>
      <c r="AH292" s="13">
        <f t="shared" si="32"/>
        <v>229561</v>
      </c>
      <c r="AI292" s="13">
        <f t="shared" si="33"/>
        <v>208997</v>
      </c>
    </row>
    <row r="293" spans="1:35" x14ac:dyDescent="0.25">
      <c r="A293" s="6" t="s">
        <v>297</v>
      </c>
      <c r="B293" s="2">
        <v>31</v>
      </c>
      <c r="C293" s="2" t="s">
        <v>328</v>
      </c>
      <c r="D293" s="3">
        <v>0</v>
      </c>
      <c r="E293" s="3">
        <v>407</v>
      </c>
      <c r="F293" s="3">
        <v>0</v>
      </c>
      <c r="G293" s="3">
        <v>2900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10">
        <v>0</v>
      </c>
      <c r="N293" s="3">
        <v>0</v>
      </c>
      <c r="O293" s="3">
        <v>0</v>
      </c>
      <c r="P293" s="9">
        <v>0</v>
      </c>
      <c r="Q293" s="3">
        <v>0</v>
      </c>
      <c r="R293" s="3">
        <v>2051</v>
      </c>
      <c r="S293" s="3">
        <v>1152</v>
      </c>
      <c r="T293" s="3">
        <v>999</v>
      </c>
      <c r="U293" s="3">
        <v>0</v>
      </c>
      <c r="V293" s="3">
        <v>0</v>
      </c>
      <c r="W293" s="10">
        <v>0</v>
      </c>
      <c r="X293" s="3">
        <v>0</v>
      </c>
      <c r="Y293" s="3">
        <v>0</v>
      </c>
      <c r="Z293" s="3">
        <v>0</v>
      </c>
      <c r="AA293" s="3">
        <v>0</v>
      </c>
      <c r="AB293" s="5">
        <v>0</v>
      </c>
      <c r="AC293" s="3">
        <v>14613</v>
      </c>
      <c r="AD293" s="13">
        <f t="shared" si="28"/>
        <v>6510</v>
      </c>
      <c r="AE293" s="13">
        <f t="shared" si="29"/>
        <v>14613</v>
      </c>
      <c r="AF293" s="13">
        <f t="shared" si="30"/>
        <v>999</v>
      </c>
      <c r="AG293" s="13">
        <f t="shared" si="31"/>
        <v>190315</v>
      </c>
      <c r="AH293" s="13">
        <f t="shared" si="32"/>
        <v>244174</v>
      </c>
      <c r="AI293" s="13">
        <f t="shared" si="33"/>
        <v>209996</v>
      </c>
    </row>
    <row r="294" spans="1:35" x14ac:dyDescent="0.25">
      <c r="A294" s="6" t="s">
        <v>297</v>
      </c>
      <c r="B294" s="2">
        <v>32</v>
      </c>
      <c r="C294" s="2" t="s">
        <v>329</v>
      </c>
      <c r="D294" s="3">
        <v>0</v>
      </c>
      <c r="E294" s="3">
        <v>544</v>
      </c>
      <c r="F294" s="3">
        <v>0</v>
      </c>
      <c r="G294" s="3">
        <v>1622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10">
        <v>0</v>
      </c>
      <c r="N294" s="3">
        <v>0</v>
      </c>
      <c r="O294" s="3">
        <v>0</v>
      </c>
      <c r="P294" s="9">
        <v>0</v>
      </c>
      <c r="Q294" s="3">
        <v>0</v>
      </c>
      <c r="R294" s="3">
        <v>1035</v>
      </c>
      <c r="S294" s="3">
        <v>1206</v>
      </c>
      <c r="T294" s="3">
        <v>0</v>
      </c>
      <c r="U294" s="3">
        <v>0</v>
      </c>
      <c r="V294" s="3">
        <v>0</v>
      </c>
      <c r="W294" s="10">
        <v>0</v>
      </c>
      <c r="X294" s="3">
        <v>0</v>
      </c>
      <c r="Y294" s="3">
        <v>0</v>
      </c>
      <c r="Z294" s="3">
        <v>0</v>
      </c>
      <c r="AA294" s="3">
        <v>0</v>
      </c>
      <c r="AB294" s="5">
        <v>0</v>
      </c>
      <c r="AC294" s="3">
        <v>9700</v>
      </c>
      <c r="AD294" s="13">
        <f t="shared" si="28"/>
        <v>4407</v>
      </c>
      <c r="AE294" s="13">
        <f t="shared" si="29"/>
        <v>9700</v>
      </c>
      <c r="AF294" s="13">
        <f t="shared" si="30"/>
        <v>0</v>
      </c>
      <c r="AG294" s="13">
        <f t="shared" si="31"/>
        <v>194722</v>
      </c>
      <c r="AH294" s="13">
        <f t="shared" si="32"/>
        <v>253874</v>
      </c>
      <c r="AI294" s="13">
        <f t="shared" si="33"/>
        <v>209996</v>
      </c>
    </row>
    <row r="295" spans="1:35" x14ac:dyDescent="0.25">
      <c r="A295" s="6" t="s">
        <v>297</v>
      </c>
      <c r="B295" s="2">
        <v>33</v>
      </c>
      <c r="C295" s="2" t="s">
        <v>330</v>
      </c>
      <c r="D295" s="3">
        <v>0</v>
      </c>
      <c r="E295" s="3">
        <v>336</v>
      </c>
      <c r="F295" s="3">
        <v>0</v>
      </c>
      <c r="G295" s="3">
        <v>3373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10">
        <v>0</v>
      </c>
      <c r="N295" s="3">
        <v>0</v>
      </c>
      <c r="O295" s="3">
        <v>0</v>
      </c>
      <c r="P295" s="9">
        <v>0</v>
      </c>
      <c r="Q295" s="3">
        <v>16504</v>
      </c>
      <c r="R295" s="3">
        <v>1565</v>
      </c>
      <c r="S295" s="3">
        <v>2433</v>
      </c>
      <c r="T295" s="3">
        <v>0</v>
      </c>
      <c r="U295" s="3">
        <v>0</v>
      </c>
      <c r="V295" s="3">
        <v>0</v>
      </c>
      <c r="W295" s="10">
        <v>0</v>
      </c>
      <c r="X295" s="3">
        <v>0</v>
      </c>
      <c r="Y295" s="3">
        <v>0</v>
      </c>
      <c r="Z295" s="3">
        <v>0</v>
      </c>
      <c r="AA295" s="3">
        <v>0</v>
      </c>
      <c r="AB295" s="5">
        <v>0</v>
      </c>
      <c r="AC295" s="3">
        <v>6203</v>
      </c>
      <c r="AD295" s="13">
        <f t="shared" si="28"/>
        <v>7707</v>
      </c>
      <c r="AE295" s="13">
        <f t="shared" si="29"/>
        <v>6203</v>
      </c>
      <c r="AF295" s="13">
        <f t="shared" si="30"/>
        <v>16504</v>
      </c>
      <c r="AG295" s="13">
        <f t="shared" si="31"/>
        <v>202429</v>
      </c>
      <c r="AH295" s="13">
        <f t="shared" si="32"/>
        <v>260077</v>
      </c>
      <c r="AI295" s="13">
        <f t="shared" si="33"/>
        <v>226500</v>
      </c>
    </row>
    <row r="296" spans="1:35" x14ac:dyDescent="0.25">
      <c r="A296" s="6" t="s">
        <v>297</v>
      </c>
      <c r="B296" s="2">
        <v>34</v>
      </c>
      <c r="C296" s="2" t="s">
        <v>331</v>
      </c>
      <c r="D296" s="3">
        <v>0</v>
      </c>
      <c r="E296" s="3">
        <v>408</v>
      </c>
      <c r="F296" s="3">
        <v>0</v>
      </c>
      <c r="G296" s="3">
        <v>3278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10">
        <v>0</v>
      </c>
      <c r="N296" s="3">
        <v>0</v>
      </c>
      <c r="O296" s="3">
        <v>0</v>
      </c>
      <c r="P296" s="9">
        <v>0</v>
      </c>
      <c r="Q296" s="3">
        <v>0</v>
      </c>
      <c r="R296" s="3">
        <v>1296</v>
      </c>
      <c r="S296" s="3">
        <v>1640</v>
      </c>
      <c r="T296" s="3">
        <v>0</v>
      </c>
      <c r="U296" s="3">
        <v>0</v>
      </c>
      <c r="V296" s="3">
        <v>0</v>
      </c>
      <c r="W296" s="10">
        <v>0</v>
      </c>
      <c r="X296" s="3">
        <v>0</v>
      </c>
      <c r="Y296" s="3">
        <v>0</v>
      </c>
      <c r="Z296" s="3">
        <v>0</v>
      </c>
      <c r="AA296" s="3">
        <v>0</v>
      </c>
      <c r="AB296" s="5">
        <v>0</v>
      </c>
      <c r="AC296" s="3">
        <v>8335</v>
      </c>
      <c r="AD296" s="13">
        <f t="shared" si="28"/>
        <v>6622</v>
      </c>
      <c r="AE296" s="13">
        <f t="shared" si="29"/>
        <v>8335</v>
      </c>
      <c r="AF296" s="13">
        <f t="shared" si="30"/>
        <v>0</v>
      </c>
      <c r="AG296" s="13">
        <f t="shared" si="31"/>
        <v>209051</v>
      </c>
      <c r="AH296" s="13">
        <f t="shared" si="32"/>
        <v>268412</v>
      </c>
      <c r="AI296" s="13">
        <f t="shared" si="33"/>
        <v>226500</v>
      </c>
    </row>
    <row r="297" spans="1:35" x14ac:dyDescent="0.25">
      <c r="A297" s="6" t="s">
        <v>297</v>
      </c>
      <c r="B297" s="2">
        <v>35</v>
      </c>
      <c r="C297" s="2" t="s">
        <v>332</v>
      </c>
      <c r="D297" s="3">
        <v>0</v>
      </c>
      <c r="E297" s="3">
        <v>1165</v>
      </c>
      <c r="F297" s="3">
        <v>0</v>
      </c>
      <c r="G297" s="3">
        <v>762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10">
        <v>0</v>
      </c>
      <c r="N297" s="3">
        <v>0</v>
      </c>
      <c r="O297" s="3">
        <v>0</v>
      </c>
      <c r="P297" s="9">
        <v>0</v>
      </c>
      <c r="Q297" s="3">
        <v>0</v>
      </c>
      <c r="R297" s="3">
        <v>768</v>
      </c>
      <c r="S297" s="3">
        <v>30</v>
      </c>
      <c r="T297" s="3">
        <v>0</v>
      </c>
      <c r="U297" s="3">
        <v>0</v>
      </c>
      <c r="V297" s="3">
        <v>0</v>
      </c>
      <c r="W297" s="10">
        <v>0</v>
      </c>
      <c r="X297" s="3">
        <v>0</v>
      </c>
      <c r="Y297" s="3">
        <v>0</v>
      </c>
      <c r="Z297" s="3">
        <v>0</v>
      </c>
      <c r="AA297" s="3">
        <v>0</v>
      </c>
      <c r="AB297" s="5">
        <v>0</v>
      </c>
      <c r="AC297" s="3">
        <v>18084</v>
      </c>
      <c r="AD297" s="13">
        <f t="shared" si="28"/>
        <v>2725</v>
      </c>
      <c r="AE297" s="13">
        <f t="shared" si="29"/>
        <v>18084</v>
      </c>
      <c r="AF297" s="13">
        <f t="shared" si="30"/>
        <v>0</v>
      </c>
      <c r="AG297" s="13">
        <f t="shared" si="31"/>
        <v>211776</v>
      </c>
      <c r="AH297" s="13">
        <f t="shared" si="32"/>
        <v>286496</v>
      </c>
      <c r="AI297" s="13">
        <f t="shared" si="33"/>
        <v>226500</v>
      </c>
    </row>
    <row r="298" spans="1:35" x14ac:dyDescent="0.25">
      <c r="A298" s="6" t="s">
        <v>297</v>
      </c>
      <c r="B298" s="2">
        <v>36</v>
      </c>
      <c r="C298" s="2" t="s">
        <v>333</v>
      </c>
      <c r="D298" s="3">
        <v>0</v>
      </c>
      <c r="E298" s="3">
        <v>0</v>
      </c>
      <c r="F298" s="3">
        <v>0</v>
      </c>
      <c r="G298" s="3">
        <v>1504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10">
        <v>0</v>
      </c>
      <c r="N298" s="3">
        <v>0</v>
      </c>
      <c r="O298" s="3">
        <v>0</v>
      </c>
      <c r="P298" s="9">
        <v>0</v>
      </c>
      <c r="Q298" s="3">
        <v>0</v>
      </c>
      <c r="R298" s="3">
        <v>633</v>
      </c>
      <c r="S298" s="3">
        <v>0</v>
      </c>
      <c r="T298" s="3">
        <v>0</v>
      </c>
      <c r="U298" s="3">
        <v>0</v>
      </c>
      <c r="V298" s="3">
        <v>0</v>
      </c>
      <c r="W298" s="10">
        <v>0</v>
      </c>
      <c r="X298" s="3">
        <v>0</v>
      </c>
      <c r="Y298" s="3">
        <v>0</v>
      </c>
      <c r="Z298" s="3">
        <v>0</v>
      </c>
      <c r="AA298" s="3">
        <v>0</v>
      </c>
      <c r="AB298" s="5">
        <v>0</v>
      </c>
      <c r="AC298" s="3">
        <v>2747</v>
      </c>
      <c r="AD298" s="13">
        <f t="shared" si="28"/>
        <v>2137</v>
      </c>
      <c r="AE298" s="13">
        <f t="shared" si="29"/>
        <v>2747</v>
      </c>
      <c r="AF298" s="13">
        <f t="shared" si="30"/>
        <v>0</v>
      </c>
      <c r="AG298" s="13">
        <f t="shared" si="31"/>
        <v>213913</v>
      </c>
      <c r="AH298" s="13">
        <f t="shared" si="32"/>
        <v>289243</v>
      </c>
      <c r="AI298" s="13">
        <f t="shared" si="33"/>
        <v>226500</v>
      </c>
    </row>
    <row r="299" spans="1:35" x14ac:dyDescent="0.25">
      <c r="A299" s="6" t="s">
        <v>297</v>
      </c>
      <c r="B299" s="2">
        <v>37</v>
      </c>
      <c r="C299" s="2" t="s">
        <v>334</v>
      </c>
      <c r="D299" s="3">
        <v>0</v>
      </c>
      <c r="E299" s="3">
        <v>138</v>
      </c>
      <c r="F299" s="3">
        <v>0</v>
      </c>
      <c r="G299" s="3">
        <v>2678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10">
        <v>0</v>
      </c>
      <c r="N299" s="3">
        <v>4</v>
      </c>
      <c r="O299" s="3">
        <v>0</v>
      </c>
      <c r="P299" s="9">
        <v>0</v>
      </c>
      <c r="Q299" s="3">
        <v>0</v>
      </c>
      <c r="R299" s="3">
        <v>2220</v>
      </c>
      <c r="S299" s="3">
        <v>1676</v>
      </c>
      <c r="T299" s="3">
        <v>0</v>
      </c>
      <c r="U299" s="3">
        <v>0</v>
      </c>
      <c r="V299" s="3">
        <v>0</v>
      </c>
      <c r="W299" s="10">
        <v>0</v>
      </c>
      <c r="X299" s="3">
        <v>0</v>
      </c>
      <c r="Y299" s="3">
        <v>0</v>
      </c>
      <c r="Z299" s="3">
        <v>0</v>
      </c>
      <c r="AA299" s="3">
        <v>0</v>
      </c>
      <c r="AB299" s="5">
        <v>0</v>
      </c>
      <c r="AC299" s="3">
        <v>6732</v>
      </c>
      <c r="AD299" s="13">
        <f t="shared" si="28"/>
        <v>6716</v>
      </c>
      <c r="AE299" s="13">
        <f t="shared" si="29"/>
        <v>6732</v>
      </c>
      <c r="AF299" s="13">
        <f t="shared" si="30"/>
        <v>0</v>
      </c>
      <c r="AG299" s="13">
        <f t="shared" si="31"/>
        <v>220629</v>
      </c>
      <c r="AH299" s="13">
        <f t="shared" si="32"/>
        <v>295975</v>
      </c>
      <c r="AI299" s="13">
        <f t="shared" si="33"/>
        <v>226500</v>
      </c>
    </row>
    <row r="300" spans="1:35" x14ac:dyDescent="0.25">
      <c r="A300" s="6" t="s">
        <v>297</v>
      </c>
      <c r="B300" s="2">
        <v>38</v>
      </c>
      <c r="C300" s="2" t="s">
        <v>335</v>
      </c>
      <c r="D300" s="3">
        <v>0</v>
      </c>
      <c r="E300" s="3">
        <v>69</v>
      </c>
      <c r="F300" s="3">
        <v>0</v>
      </c>
      <c r="G300" s="3">
        <v>2589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10">
        <v>0</v>
      </c>
      <c r="N300" s="3">
        <v>0</v>
      </c>
      <c r="O300" s="3">
        <v>0</v>
      </c>
      <c r="P300" s="9">
        <v>0</v>
      </c>
      <c r="Q300" s="3">
        <v>0</v>
      </c>
      <c r="R300" s="3">
        <v>2374</v>
      </c>
      <c r="S300" s="3">
        <v>1577</v>
      </c>
      <c r="T300" s="3">
        <v>0</v>
      </c>
      <c r="U300" s="3">
        <v>0</v>
      </c>
      <c r="V300" s="3">
        <v>0</v>
      </c>
      <c r="W300" s="10">
        <v>0</v>
      </c>
      <c r="X300" s="3">
        <v>0</v>
      </c>
      <c r="Y300" s="3">
        <v>0</v>
      </c>
      <c r="Z300" s="3">
        <v>0</v>
      </c>
      <c r="AA300" s="3">
        <v>0</v>
      </c>
      <c r="AB300" s="5">
        <v>0</v>
      </c>
      <c r="AC300" s="3">
        <v>7960</v>
      </c>
      <c r="AD300" s="13">
        <f t="shared" si="28"/>
        <v>6609</v>
      </c>
      <c r="AE300" s="13">
        <f t="shared" si="29"/>
        <v>7960</v>
      </c>
      <c r="AF300" s="13">
        <f t="shared" si="30"/>
        <v>0</v>
      </c>
      <c r="AG300" s="13">
        <f t="shared" si="31"/>
        <v>227238</v>
      </c>
      <c r="AH300" s="13">
        <f t="shared" si="32"/>
        <v>303935</v>
      </c>
      <c r="AI300" s="13">
        <f t="shared" si="33"/>
        <v>226500</v>
      </c>
    </row>
    <row r="301" spans="1:35" x14ac:dyDescent="0.25">
      <c r="A301" s="6" t="s">
        <v>297</v>
      </c>
      <c r="B301" s="2">
        <v>39</v>
      </c>
      <c r="C301" s="2" t="s">
        <v>336</v>
      </c>
      <c r="D301" s="3">
        <v>0</v>
      </c>
      <c r="E301" s="3">
        <v>292</v>
      </c>
      <c r="F301" s="3">
        <v>0</v>
      </c>
      <c r="G301" s="3">
        <v>2302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10">
        <v>0</v>
      </c>
      <c r="N301" s="3">
        <v>0</v>
      </c>
      <c r="O301" s="3">
        <v>0</v>
      </c>
      <c r="P301" s="9">
        <v>0</v>
      </c>
      <c r="Q301" s="3">
        <v>0</v>
      </c>
      <c r="R301" s="3">
        <v>2138</v>
      </c>
      <c r="S301" s="3">
        <v>1427</v>
      </c>
      <c r="T301" s="3">
        <v>975</v>
      </c>
      <c r="U301" s="3">
        <v>0</v>
      </c>
      <c r="V301" s="3">
        <v>0</v>
      </c>
      <c r="W301" s="10">
        <v>0</v>
      </c>
      <c r="X301" s="3">
        <v>0</v>
      </c>
      <c r="Y301" s="3">
        <v>0</v>
      </c>
      <c r="Z301" s="3">
        <v>0</v>
      </c>
      <c r="AA301" s="3">
        <v>0</v>
      </c>
      <c r="AB301" s="5">
        <v>0</v>
      </c>
      <c r="AC301" s="3">
        <v>9114</v>
      </c>
      <c r="AD301" s="13">
        <f t="shared" si="28"/>
        <v>6159</v>
      </c>
      <c r="AE301" s="13">
        <f t="shared" si="29"/>
        <v>9114</v>
      </c>
      <c r="AF301" s="13">
        <f t="shared" si="30"/>
        <v>975</v>
      </c>
      <c r="AG301" s="13">
        <f t="shared" si="31"/>
        <v>233397</v>
      </c>
      <c r="AH301" s="13">
        <f t="shared" si="32"/>
        <v>313049</v>
      </c>
      <c r="AI301" s="13">
        <f t="shared" si="33"/>
        <v>227475</v>
      </c>
    </row>
    <row r="302" spans="1:35" x14ac:dyDescent="0.25">
      <c r="A302" s="6" t="s">
        <v>297</v>
      </c>
      <c r="B302" s="2">
        <v>40</v>
      </c>
      <c r="C302" s="2" t="s">
        <v>337</v>
      </c>
      <c r="D302" s="3">
        <v>0</v>
      </c>
      <c r="E302" s="3">
        <v>784</v>
      </c>
      <c r="F302" s="3">
        <v>0</v>
      </c>
      <c r="G302" s="3">
        <v>2060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10">
        <v>0</v>
      </c>
      <c r="N302" s="3">
        <v>7</v>
      </c>
      <c r="O302" s="3">
        <v>357</v>
      </c>
      <c r="P302" s="9">
        <v>0</v>
      </c>
      <c r="Q302" s="3">
        <v>0</v>
      </c>
      <c r="R302" s="3">
        <v>3431</v>
      </c>
      <c r="S302" s="3">
        <v>1173</v>
      </c>
      <c r="T302" s="3">
        <v>0</v>
      </c>
      <c r="U302" s="3">
        <v>0</v>
      </c>
      <c r="V302" s="3">
        <v>0</v>
      </c>
      <c r="W302" s="10">
        <v>0</v>
      </c>
      <c r="X302" s="3">
        <v>0</v>
      </c>
      <c r="Y302" s="3">
        <v>0</v>
      </c>
      <c r="Z302" s="3">
        <v>0</v>
      </c>
      <c r="AA302" s="3">
        <v>0</v>
      </c>
      <c r="AB302" s="5">
        <v>0</v>
      </c>
      <c r="AC302" s="3">
        <v>7896</v>
      </c>
      <c r="AD302" s="13">
        <f t="shared" si="28"/>
        <v>7455</v>
      </c>
      <c r="AE302" s="13">
        <f t="shared" si="29"/>
        <v>7896</v>
      </c>
      <c r="AF302" s="13">
        <f t="shared" si="30"/>
        <v>357</v>
      </c>
      <c r="AG302" s="13">
        <f t="shared" si="31"/>
        <v>240852</v>
      </c>
      <c r="AH302" s="13">
        <f t="shared" si="32"/>
        <v>320945</v>
      </c>
      <c r="AI302" s="13">
        <f t="shared" si="33"/>
        <v>227832</v>
      </c>
    </row>
    <row r="303" spans="1:35" x14ac:dyDescent="0.25">
      <c r="A303" s="6" t="s">
        <v>297</v>
      </c>
      <c r="B303" s="2">
        <v>41</v>
      </c>
      <c r="C303" s="2" t="s">
        <v>338</v>
      </c>
      <c r="D303" s="3">
        <v>0</v>
      </c>
      <c r="E303" s="3">
        <v>463</v>
      </c>
      <c r="F303" s="3">
        <v>0</v>
      </c>
      <c r="G303" s="3">
        <v>1012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10">
        <v>0</v>
      </c>
      <c r="N303" s="3">
        <v>0</v>
      </c>
      <c r="O303" s="3">
        <v>0</v>
      </c>
      <c r="P303" s="9">
        <v>0</v>
      </c>
      <c r="Q303" s="3">
        <v>0</v>
      </c>
      <c r="R303" s="3">
        <v>2160</v>
      </c>
      <c r="S303" s="3">
        <v>1794</v>
      </c>
      <c r="T303" s="3">
        <v>0</v>
      </c>
      <c r="U303" s="3">
        <v>0</v>
      </c>
      <c r="V303" s="3">
        <v>0</v>
      </c>
      <c r="W303" s="10">
        <v>0</v>
      </c>
      <c r="X303" s="3">
        <v>0</v>
      </c>
      <c r="Y303" s="3">
        <v>0</v>
      </c>
      <c r="Z303" s="3">
        <v>0</v>
      </c>
      <c r="AA303" s="3">
        <v>0</v>
      </c>
      <c r="AB303" s="5">
        <v>0</v>
      </c>
      <c r="AC303" s="3">
        <v>7748</v>
      </c>
      <c r="AD303" s="13">
        <f t="shared" si="28"/>
        <v>5429</v>
      </c>
      <c r="AE303" s="13">
        <f t="shared" si="29"/>
        <v>7748</v>
      </c>
      <c r="AF303" s="13">
        <f t="shared" si="30"/>
        <v>0</v>
      </c>
      <c r="AG303" s="13">
        <f t="shared" si="31"/>
        <v>246281</v>
      </c>
      <c r="AH303" s="13">
        <f t="shared" si="32"/>
        <v>328693</v>
      </c>
      <c r="AI303" s="13">
        <f t="shared" si="33"/>
        <v>227832</v>
      </c>
    </row>
    <row r="304" spans="1:35" x14ac:dyDescent="0.25">
      <c r="A304" s="6" t="s">
        <v>297</v>
      </c>
      <c r="B304" s="2">
        <v>42</v>
      </c>
      <c r="C304" s="2" t="s">
        <v>339</v>
      </c>
      <c r="D304" s="3">
        <v>0</v>
      </c>
      <c r="E304" s="3">
        <v>105</v>
      </c>
      <c r="F304" s="3">
        <v>0</v>
      </c>
      <c r="G304" s="3">
        <v>1414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10">
        <v>0</v>
      </c>
      <c r="N304" s="3">
        <v>390</v>
      </c>
      <c r="O304" s="3">
        <v>0</v>
      </c>
      <c r="P304" s="9">
        <v>0</v>
      </c>
      <c r="Q304" s="3">
        <v>0</v>
      </c>
      <c r="R304" s="3">
        <v>2966</v>
      </c>
      <c r="S304" s="3">
        <v>510</v>
      </c>
      <c r="T304" s="3">
        <v>0</v>
      </c>
      <c r="U304" s="3">
        <v>0</v>
      </c>
      <c r="V304" s="3">
        <v>0</v>
      </c>
      <c r="W304" s="10">
        <v>0</v>
      </c>
      <c r="X304" s="3">
        <v>0</v>
      </c>
      <c r="Y304" s="3">
        <v>0</v>
      </c>
      <c r="Z304" s="3">
        <v>0</v>
      </c>
      <c r="AA304" s="3">
        <v>0</v>
      </c>
      <c r="AB304" s="5">
        <v>0</v>
      </c>
      <c r="AC304" s="3">
        <v>5647</v>
      </c>
      <c r="AD304" s="13">
        <f t="shared" si="28"/>
        <v>5385</v>
      </c>
      <c r="AE304" s="13">
        <f t="shared" si="29"/>
        <v>5647</v>
      </c>
      <c r="AF304" s="13">
        <f t="shared" si="30"/>
        <v>0</v>
      </c>
      <c r="AG304" s="13">
        <f t="shared" si="31"/>
        <v>251666</v>
      </c>
      <c r="AH304" s="13">
        <f t="shared" si="32"/>
        <v>334340</v>
      </c>
      <c r="AI304" s="13">
        <f t="shared" si="33"/>
        <v>227832</v>
      </c>
    </row>
    <row r="305" spans="1:35" x14ac:dyDescent="0.25">
      <c r="A305" s="6" t="s">
        <v>297</v>
      </c>
      <c r="B305" s="2">
        <v>43</v>
      </c>
      <c r="C305" s="2" t="s">
        <v>340</v>
      </c>
      <c r="D305" s="3">
        <v>0</v>
      </c>
      <c r="E305" s="3">
        <v>100</v>
      </c>
      <c r="F305" s="3">
        <v>0</v>
      </c>
      <c r="G305" s="3">
        <v>1955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10">
        <v>0</v>
      </c>
      <c r="N305" s="3">
        <v>0</v>
      </c>
      <c r="O305" s="3">
        <v>0</v>
      </c>
      <c r="P305" s="9">
        <v>0</v>
      </c>
      <c r="Q305" s="3">
        <v>0</v>
      </c>
      <c r="R305" s="3">
        <v>2680</v>
      </c>
      <c r="S305" s="3">
        <v>1385</v>
      </c>
      <c r="T305" s="3">
        <v>962</v>
      </c>
      <c r="U305" s="3">
        <v>0</v>
      </c>
      <c r="V305" s="3">
        <v>0</v>
      </c>
      <c r="W305" s="10">
        <v>0</v>
      </c>
      <c r="X305" s="3">
        <v>0</v>
      </c>
      <c r="Y305" s="3">
        <v>0</v>
      </c>
      <c r="Z305" s="3">
        <v>0</v>
      </c>
      <c r="AA305" s="3">
        <v>0</v>
      </c>
      <c r="AB305" s="5">
        <v>0</v>
      </c>
      <c r="AC305" s="3">
        <v>4973</v>
      </c>
      <c r="AD305" s="13">
        <f t="shared" si="28"/>
        <v>6120</v>
      </c>
      <c r="AE305" s="13">
        <f t="shared" si="29"/>
        <v>4973</v>
      </c>
      <c r="AF305" s="13">
        <f t="shared" si="30"/>
        <v>962</v>
      </c>
      <c r="AG305" s="13">
        <f t="shared" si="31"/>
        <v>257786</v>
      </c>
      <c r="AH305" s="13">
        <f t="shared" si="32"/>
        <v>339313</v>
      </c>
      <c r="AI305" s="13">
        <f t="shared" si="33"/>
        <v>228794</v>
      </c>
    </row>
    <row r="306" spans="1:35" x14ac:dyDescent="0.25">
      <c r="A306" s="6" t="s">
        <v>297</v>
      </c>
      <c r="B306" s="2">
        <v>44</v>
      </c>
      <c r="C306" s="2" t="s">
        <v>341</v>
      </c>
      <c r="D306" s="3">
        <v>0</v>
      </c>
      <c r="E306" s="3">
        <v>414</v>
      </c>
      <c r="F306" s="3">
        <v>0</v>
      </c>
      <c r="G306" s="3">
        <v>1106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10">
        <v>0</v>
      </c>
      <c r="N306" s="3">
        <v>203</v>
      </c>
      <c r="O306" s="3">
        <v>177</v>
      </c>
      <c r="P306" s="9">
        <v>0</v>
      </c>
      <c r="Q306" s="3">
        <v>0</v>
      </c>
      <c r="R306" s="3">
        <v>2778</v>
      </c>
      <c r="S306" s="3">
        <v>1434</v>
      </c>
      <c r="T306" s="3">
        <v>1011</v>
      </c>
      <c r="U306" s="3">
        <v>0</v>
      </c>
      <c r="V306" s="3">
        <v>0</v>
      </c>
      <c r="W306" s="10">
        <v>0</v>
      </c>
      <c r="X306" s="3">
        <v>0</v>
      </c>
      <c r="Y306" s="3">
        <v>0</v>
      </c>
      <c r="Z306" s="3">
        <v>0</v>
      </c>
      <c r="AA306" s="3">
        <v>0</v>
      </c>
      <c r="AB306" s="5">
        <v>0</v>
      </c>
      <c r="AC306" s="3">
        <v>7416</v>
      </c>
      <c r="AD306" s="13">
        <f t="shared" si="28"/>
        <v>5935</v>
      </c>
      <c r="AE306" s="13">
        <f t="shared" si="29"/>
        <v>7416</v>
      </c>
      <c r="AF306" s="13">
        <f t="shared" si="30"/>
        <v>1188</v>
      </c>
      <c r="AG306" s="13">
        <f t="shared" si="31"/>
        <v>263721</v>
      </c>
      <c r="AH306" s="13">
        <f t="shared" si="32"/>
        <v>346729</v>
      </c>
      <c r="AI306" s="13">
        <f t="shared" si="33"/>
        <v>229982</v>
      </c>
    </row>
    <row r="307" spans="1:35" x14ac:dyDescent="0.25">
      <c r="A307" s="6" t="s">
        <v>297</v>
      </c>
      <c r="B307" s="2">
        <v>45</v>
      </c>
      <c r="C307" s="2" t="s">
        <v>342</v>
      </c>
      <c r="D307" s="3">
        <v>0</v>
      </c>
      <c r="E307" s="3">
        <v>206</v>
      </c>
      <c r="F307" s="3">
        <v>0</v>
      </c>
      <c r="G307" s="3">
        <v>1166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10">
        <v>0</v>
      </c>
      <c r="N307" s="3">
        <v>319</v>
      </c>
      <c r="O307" s="3">
        <v>0</v>
      </c>
      <c r="P307" s="9">
        <v>0</v>
      </c>
      <c r="Q307" s="3">
        <v>0</v>
      </c>
      <c r="R307" s="3">
        <v>1619</v>
      </c>
      <c r="S307" s="3">
        <v>1595</v>
      </c>
      <c r="T307" s="3">
        <v>0</v>
      </c>
      <c r="U307" s="3">
        <v>0</v>
      </c>
      <c r="V307" s="3">
        <v>0</v>
      </c>
      <c r="W307" s="10">
        <v>0</v>
      </c>
      <c r="X307" s="3">
        <v>0</v>
      </c>
      <c r="Y307" s="3">
        <v>0</v>
      </c>
      <c r="Z307" s="3">
        <v>0</v>
      </c>
      <c r="AA307" s="3">
        <v>0</v>
      </c>
      <c r="AB307" s="5">
        <v>0</v>
      </c>
      <c r="AC307" s="3">
        <v>7142</v>
      </c>
      <c r="AD307" s="13">
        <f t="shared" si="28"/>
        <v>4905</v>
      </c>
      <c r="AE307" s="13">
        <f t="shared" si="29"/>
        <v>7142</v>
      </c>
      <c r="AF307" s="13">
        <f t="shared" si="30"/>
        <v>0</v>
      </c>
      <c r="AG307" s="13">
        <f t="shared" si="31"/>
        <v>268626</v>
      </c>
      <c r="AH307" s="13">
        <f t="shared" si="32"/>
        <v>353871</v>
      </c>
      <c r="AI307" s="13">
        <f t="shared" si="33"/>
        <v>229982</v>
      </c>
    </row>
    <row r="308" spans="1:35" x14ac:dyDescent="0.25">
      <c r="A308" s="6" t="s">
        <v>297</v>
      </c>
      <c r="B308" s="2">
        <v>46</v>
      </c>
      <c r="C308" s="2" t="s">
        <v>343</v>
      </c>
      <c r="D308" s="3">
        <v>0</v>
      </c>
      <c r="E308" s="3">
        <v>198</v>
      </c>
      <c r="F308" s="3">
        <v>0</v>
      </c>
      <c r="G308" s="3">
        <v>1922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10">
        <v>0</v>
      </c>
      <c r="N308" s="3">
        <v>111</v>
      </c>
      <c r="O308" s="3">
        <v>0</v>
      </c>
      <c r="P308" s="9">
        <v>0</v>
      </c>
      <c r="Q308" s="3">
        <v>16509</v>
      </c>
      <c r="R308" s="3">
        <v>1440</v>
      </c>
      <c r="S308" s="3">
        <v>722</v>
      </c>
      <c r="T308" s="3">
        <v>0</v>
      </c>
      <c r="U308" s="3">
        <v>0</v>
      </c>
      <c r="V308" s="3">
        <v>0</v>
      </c>
      <c r="W308" s="10">
        <v>0</v>
      </c>
      <c r="X308" s="3">
        <v>0</v>
      </c>
      <c r="Y308" s="3">
        <v>0</v>
      </c>
      <c r="Z308" s="3">
        <v>0</v>
      </c>
      <c r="AA308" s="3">
        <v>0</v>
      </c>
      <c r="AB308" s="5">
        <v>0</v>
      </c>
      <c r="AC308" s="3">
        <v>8620</v>
      </c>
      <c r="AD308" s="13">
        <f t="shared" si="28"/>
        <v>4393</v>
      </c>
      <c r="AE308" s="13">
        <f t="shared" si="29"/>
        <v>8620</v>
      </c>
      <c r="AF308" s="13">
        <f t="shared" si="30"/>
        <v>16509</v>
      </c>
      <c r="AG308" s="13">
        <f t="shared" si="31"/>
        <v>273019</v>
      </c>
      <c r="AH308" s="13">
        <f t="shared" si="32"/>
        <v>362491</v>
      </c>
      <c r="AI308" s="13">
        <f t="shared" si="33"/>
        <v>246491</v>
      </c>
    </row>
    <row r="309" spans="1:35" x14ac:dyDescent="0.25">
      <c r="A309" s="6" t="s">
        <v>297</v>
      </c>
      <c r="B309" s="2">
        <v>47</v>
      </c>
      <c r="C309" s="2" t="s">
        <v>344</v>
      </c>
      <c r="D309" s="3">
        <v>0</v>
      </c>
      <c r="E309" s="3">
        <v>171</v>
      </c>
      <c r="F309" s="3">
        <v>0</v>
      </c>
      <c r="G309" s="3">
        <v>1451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10">
        <v>0</v>
      </c>
      <c r="N309" s="3">
        <v>0</v>
      </c>
      <c r="O309" s="3">
        <v>0</v>
      </c>
      <c r="P309" s="9">
        <v>0</v>
      </c>
      <c r="Q309" s="3">
        <v>0</v>
      </c>
      <c r="R309" s="3">
        <v>1677</v>
      </c>
      <c r="S309" s="3">
        <v>831</v>
      </c>
      <c r="T309" s="3">
        <v>0</v>
      </c>
      <c r="U309" s="3">
        <v>0</v>
      </c>
      <c r="V309" s="3">
        <v>0</v>
      </c>
      <c r="W309" s="10">
        <v>0</v>
      </c>
      <c r="X309" s="3">
        <v>0</v>
      </c>
      <c r="Y309" s="3">
        <v>0</v>
      </c>
      <c r="Z309" s="3">
        <v>0</v>
      </c>
      <c r="AA309" s="3">
        <v>0</v>
      </c>
      <c r="AB309" s="5">
        <v>0</v>
      </c>
      <c r="AC309" s="3">
        <v>9388</v>
      </c>
      <c r="AD309" s="13">
        <f t="shared" si="28"/>
        <v>4130</v>
      </c>
      <c r="AE309" s="13">
        <f t="shared" si="29"/>
        <v>9388</v>
      </c>
      <c r="AF309" s="13">
        <f t="shared" si="30"/>
        <v>0</v>
      </c>
      <c r="AG309" s="13">
        <f t="shared" si="31"/>
        <v>277149</v>
      </c>
      <c r="AH309" s="13">
        <f t="shared" si="32"/>
        <v>371879</v>
      </c>
      <c r="AI309" s="13">
        <f t="shared" si="33"/>
        <v>246491</v>
      </c>
    </row>
    <row r="310" spans="1:35" x14ac:dyDescent="0.25">
      <c r="A310" s="6" t="s">
        <v>297</v>
      </c>
      <c r="B310" s="2">
        <v>48</v>
      </c>
      <c r="C310" s="2" t="s">
        <v>345</v>
      </c>
      <c r="D310" s="3">
        <v>0</v>
      </c>
      <c r="E310" s="3">
        <v>224</v>
      </c>
      <c r="F310" s="3">
        <v>0</v>
      </c>
      <c r="G310" s="3">
        <v>2438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10">
        <v>0</v>
      </c>
      <c r="N310" s="3">
        <v>0</v>
      </c>
      <c r="O310" s="3">
        <v>0</v>
      </c>
      <c r="P310" s="9">
        <v>0</v>
      </c>
      <c r="Q310" s="3">
        <v>0</v>
      </c>
      <c r="R310" s="3">
        <v>760</v>
      </c>
      <c r="S310" s="3">
        <v>2448</v>
      </c>
      <c r="T310" s="3">
        <v>0</v>
      </c>
      <c r="U310" s="3">
        <v>0</v>
      </c>
      <c r="V310" s="3">
        <v>0</v>
      </c>
      <c r="W310" s="10">
        <v>0</v>
      </c>
      <c r="X310" s="3">
        <v>0</v>
      </c>
      <c r="Y310" s="3">
        <v>0</v>
      </c>
      <c r="Z310" s="3">
        <v>0</v>
      </c>
      <c r="AA310" s="3">
        <v>0</v>
      </c>
      <c r="AB310" s="5">
        <v>0</v>
      </c>
      <c r="AC310" s="3">
        <v>14649</v>
      </c>
      <c r="AD310" s="13">
        <f t="shared" si="28"/>
        <v>5870</v>
      </c>
      <c r="AE310" s="13">
        <f t="shared" si="29"/>
        <v>14649</v>
      </c>
      <c r="AF310" s="13">
        <f t="shared" si="30"/>
        <v>0</v>
      </c>
      <c r="AG310" s="13">
        <f t="shared" si="31"/>
        <v>283019</v>
      </c>
      <c r="AH310" s="13">
        <f t="shared" si="32"/>
        <v>386528</v>
      </c>
      <c r="AI310" s="13">
        <f t="shared" si="33"/>
        <v>246491</v>
      </c>
    </row>
    <row r="311" spans="1:35" x14ac:dyDescent="0.25">
      <c r="A311" s="6" t="s">
        <v>297</v>
      </c>
      <c r="B311" s="2">
        <v>49</v>
      </c>
      <c r="C311" s="2" t="s">
        <v>346</v>
      </c>
      <c r="D311" s="3">
        <v>0</v>
      </c>
      <c r="E311" s="3">
        <v>244</v>
      </c>
      <c r="F311" s="3">
        <v>0</v>
      </c>
      <c r="G311" s="3">
        <v>1623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10">
        <v>0</v>
      </c>
      <c r="N311" s="3">
        <v>6</v>
      </c>
      <c r="O311" s="3">
        <v>0</v>
      </c>
      <c r="P311" s="9">
        <v>0</v>
      </c>
      <c r="Q311" s="3">
        <v>0</v>
      </c>
      <c r="R311" s="3">
        <v>943</v>
      </c>
      <c r="S311" s="3">
        <v>1264</v>
      </c>
      <c r="T311" s="3">
        <v>0</v>
      </c>
      <c r="U311" s="3">
        <v>0</v>
      </c>
      <c r="V311" s="3">
        <v>0</v>
      </c>
      <c r="W311" s="10">
        <v>0</v>
      </c>
      <c r="X311" s="3">
        <v>0</v>
      </c>
      <c r="Y311" s="3">
        <v>0</v>
      </c>
      <c r="Z311" s="3">
        <v>0</v>
      </c>
      <c r="AA311" s="3">
        <v>0</v>
      </c>
      <c r="AB311" s="5">
        <v>0</v>
      </c>
      <c r="AC311" s="3">
        <v>9700</v>
      </c>
      <c r="AD311" s="13">
        <f t="shared" si="28"/>
        <v>4080</v>
      </c>
      <c r="AE311" s="13">
        <f t="shared" si="29"/>
        <v>9700</v>
      </c>
      <c r="AF311" s="13">
        <f t="shared" si="30"/>
        <v>0</v>
      </c>
      <c r="AG311" s="13">
        <f t="shared" si="31"/>
        <v>287099</v>
      </c>
      <c r="AH311" s="13">
        <f t="shared" si="32"/>
        <v>396228</v>
      </c>
      <c r="AI311" s="13">
        <f t="shared" si="33"/>
        <v>246491</v>
      </c>
    </row>
    <row r="312" spans="1:35" x14ac:dyDescent="0.25">
      <c r="A312" s="6" t="s">
        <v>297</v>
      </c>
      <c r="B312" s="2">
        <v>50</v>
      </c>
      <c r="C312" s="2" t="s">
        <v>347</v>
      </c>
      <c r="D312" s="12">
        <v>0</v>
      </c>
      <c r="E312" s="12">
        <v>209</v>
      </c>
      <c r="F312" s="12">
        <v>0</v>
      </c>
      <c r="G312" s="12">
        <v>2003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52">
        <v>0</v>
      </c>
      <c r="N312" s="12">
        <v>0</v>
      </c>
      <c r="O312" s="12">
        <v>0</v>
      </c>
      <c r="P312" s="53">
        <v>0</v>
      </c>
      <c r="Q312" s="12">
        <v>0</v>
      </c>
      <c r="R312" s="12">
        <v>1112</v>
      </c>
      <c r="S312" s="12">
        <v>1421</v>
      </c>
      <c r="T312" s="12">
        <v>0</v>
      </c>
      <c r="U312" s="12">
        <v>0</v>
      </c>
      <c r="V312" s="12">
        <v>0</v>
      </c>
      <c r="W312" s="52">
        <v>0</v>
      </c>
      <c r="X312" s="12">
        <v>0</v>
      </c>
      <c r="Y312" s="12">
        <v>0</v>
      </c>
      <c r="Z312" s="12">
        <v>0</v>
      </c>
      <c r="AA312" s="12">
        <v>0</v>
      </c>
      <c r="AB312" s="11">
        <v>0</v>
      </c>
      <c r="AC312" s="12">
        <v>6203</v>
      </c>
      <c r="AD312" s="13">
        <f t="shared" si="28"/>
        <v>4745</v>
      </c>
      <c r="AE312" s="13">
        <f t="shared" si="29"/>
        <v>6203</v>
      </c>
      <c r="AF312" s="13">
        <f t="shared" si="30"/>
        <v>0</v>
      </c>
      <c r="AG312" s="13">
        <f t="shared" si="31"/>
        <v>291844</v>
      </c>
      <c r="AH312" s="13">
        <f t="shared" si="32"/>
        <v>402431</v>
      </c>
      <c r="AI312" s="13">
        <f t="shared" si="33"/>
        <v>246491</v>
      </c>
    </row>
    <row r="313" spans="1:35" x14ac:dyDescent="0.25">
      <c r="A313" s="6" t="s">
        <v>297</v>
      </c>
      <c r="B313" s="2">
        <v>51</v>
      </c>
      <c r="C313" s="51" t="s">
        <v>352</v>
      </c>
      <c r="D313" s="12">
        <v>0</v>
      </c>
      <c r="E313" s="43">
        <v>69</v>
      </c>
      <c r="F313" s="12">
        <v>0</v>
      </c>
      <c r="G313" s="43">
        <v>2258</v>
      </c>
      <c r="H313" s="43">
        <v>0</v>
      </c>
      <c r="I313" s="12">
        <v>0</v>
      </c>
      <c r="J313" s="12">
        <v>0</v>
      </c>
      <c r="K313" s="12">
        <v>0</v>
      </c>
      <c r="L313" s="43">
        <v>0</v>
      </c>
      <c r="M313" s="52">
        <v>0</v>
      </c>
      <c r="N313" s="43">
        <v>3</v>
      </c>
      <c r="O313" s="43">
        <v>0</v>
      </c>
      <c r="P313" s="53">
        <v>0</v>
      </c>
      <c r="Q313" s="43">
        <v>0</v>
      </c>
      <c r="R313" s="43">
        <v>1600</v>
      </c>
      <c r="S313" s="43">
        <v>1452</v>
      </c>
      <c r="T313" s="43">
        <v>0</v>
      </c>
      <c r="U313" s="12">
        <v>0</v>
      </c>
      <c r="V313" s="12">
        <v>0</v>
      </c>
      <c r="W313" s="52">
        <v>0</v>
      </c>
      <c r="X313" s="12">
        <v>0</v>
      </c>
      <c r="Y313" s="12">
        <v>0</v>
      </c>
      <c r="Z313" s="43">
        <v>0</v>
      </c>
      <c r="AA313" s="43">
        <v>0</v>
      </c>
      <c r="AB313" s="11">
        <v>0</v>
      </c>
      <c r="AC313" s="43">
        <v>8336</v>
      </c>
      <c r="AD313" s="13">
        <f t="shared" si="28"/>
        <v>5382</v>
      </c>
      <c r="AE313" s="13">
        <f t="shared" si="29"/>
        <v>8336</v>
      </c>
      <c r="AF313" s="13">
        <f t="shared" si="30"/>
        <v>0</v>
      </c>
      <c r="AG313" s="13">
        <f t="shared" ref="AG313" si="34">AG312+AD313</f>
        <v>297226</v>
      </c>
      <c r="AH313" s="13">
        <f t="shared" ref="AH313" si="35">AH312+AE313</f>
        <v>410767</v>
      </c>
      <c r="AI313" s="13">
        <f t="shared" ref="AI313" si="36">AI312+AF313</f>
        <v>246491</v>
      </c>
    </row>
    <row r="314" spans="1:35" x14ac:dyDescent="0.25">
      <c r="A314" s="6" t="s">
        <v>297</v>
      </c>
      <c r="B314" s="15">
        <v>52</v>
      </c>
      <c r="C314" s="54" t="s">
        <v>363</v>
      </c>
      <c r="D314" s="12">
        <v>0</v>
      </c>
      <c r="E314" s="55">
        <v>639</v>
      </c>
      <c r="F314" s="12">
        <v>0</v>
      </c>
      <c r="G314" s="55">
        <v>5221</v>
      </c>
      <c r="H314" s="55">
        <v>0</v>
      </c>
      <c r="I314" s="12">
        <v>0</v>
      </c>
      <c r="J314" s="12">
        <v>0</v>
      </c>
      <c r="K314" s="12">
        <v>0</v>
      </c>
      <c r="L314" s="55">
        <v>0</v>
      </c>
      <c r="M314" s="52">
        <v>0</v>
      </c>
      <c r="N314" s="55">
        <v>99</v>
      </c>
      <c r="O314" s="55">
        <v>0</v>
      </c>
      <c r="P314" s="53">
        <v>0</v>
      </c>
      <c r="Q314" s="55">
        <v>0</v>
      </c>
      <c r="R314" s="55">
        <v>2473</v>
      </c>
      <c r="S314" s="55">
        <v>2727</v>
      </c>
      <c r="T314" s="55">
        <v>273</v>
      </c>
      <c r="U314" s="12">
        <v>0</v>
      </c>
      <c r="V314" s="12">
        <v>0</v>
      </c>
      <c r="W314" s="52">
        <v>0</v>
      </c>
      <c r="X314" s="12">
        <v>0</v>
      </c>
      <c r="Y314" s="12">
        <v>0</v>
      </c>
      <c r="Z314" s="55">
        <v>0</v>
      </c>
      <c r="AA314" s="55">
        <v>0</v>
      </c>
      <c r="AB314" s="11">
        <v>0</v>
      </c>
      <c r="AC314" s="55">
        <v>9741</v>
      </c>
      <c r="AD314" s="13">
        <f t="shared" si="28"/>
        <v>11159</v>
      </c>
      <c r="AE314" s="13">
        <f t="shared" si="29"/>
        <v>9741</v>
      </c>
      <c r="AF314" s="13">
        <f t="shared" si="30"/>
        <v>273</v>
      </c>
      <c r="AG314" s="13">
        <f t="shared" ref="AG314" si="37">AG313+AD314</f>
        <v>308385</v>
      </c>
      <c r="AH314" s="13">
        <f t="shared" ref="AH314" si="38">AH313+AE314</f>
        <v>420508</v>
      </c>
      <c r="AI314" s="13">
        <f t="shared" ref="AI314" si="39">AI313+AF314</f>
        <v>246764</v>
      </c>
    </row>
    <row r="315" spans="1:35" x14ac:dyDescent="0.25">
      <c r="A315" s="44" t="s">
        <v>362</v>
      </c>
      <c r="B315" s="40">
        <v>1</v>
      </c>
      <c r="C315" s="40" t="s">
        <v>364</v>
      </c>
      <c r="D315" s="47">
        <v>0</v>
      </c>
      <c r="E315" s="56">
        <v>0</v>
      </c>
      <c r="F315" s="47">
        <v>0</v>
      </c>
      <c r="G315" s="56">
        <v>733</v>
      </c>
      <c r="H315" s="56">
        <v>0</v>
      </c>
      <c r="I315" s="12">
        <v>0</v>
      </c>
      <c r="J315" s="47">
        <v>0</v>
      </c>
      <c r="K315" s="47">
        <v>0</v>
      </c>
      <c r="L315" s="56">
        <v>0</v>
      </c>
      <c r="M315" s="57">
        <v>0</v>
      </c>
      <c r="N315" s="56">
        <v>0</v>
      </c>
      <c r="O315" s="56">
        <v>0</v>
      </c>
      <c r="P315" s="58">
        <v>0</v>
      </c>
      <c r="Q315" s="56">
        <v>0</v>
      </c>
      <c r="R315" s="56">
        <v>0</v>
      </c>
      <c r="S315" s="56">
        <v>300</v>
      </c>
      <c r="T315" s="47">
        <v>0</v>
      </c>
      <c r="U315" s="47">
        <v>0</v>
      </c>
      <c r="V315" s="47">
        <v>0</v>
      </c>
      <c r="W315" s="57">
        <v>0</v>
      </c>
      <c r="X315" s="47">
        <v>0</v>
      </c>
      <c r="Y315" s="47">
        <v>0</v>
      </c>
      <c r="Z315" s="56">
        <v>0</v>
      </c>
      <c r="AA315" s="56">
        <v>0</v>
      </c>
      <c r="AB315" s="59">
        <v>0</v>
      </c>
      <c r="AC315" s="56">
        <v>2058</v>
      </c>
      <c r="AD315" s="42">
        <f t="shared" si="28"/>
        <v>1033</v>
      </c>
      <c r="AE315" s="42">
        <f t="shared" si="29"/>
        <v>2058</v>
      </c>
      <c r="AF315" s="42">
        <f t="shared" si="30"/>
        <v>0</v>
      </c>
      <c r="AG315" s="42">
        <f>AD315</f>
        <v>1033</v>
      </c>
      <c r="AH315" s="42">
        <f>AE315</f>
        <v>2058</v>
      </c>
      <c r="AI315" s="42">
        <f>AF315</f>
        <v>0</v>
      </c>
    </row>
    <row r="316" spans="1:35" x14ac:dyDescent="0.25">
      <c r="A316" s="6" t="s">
        <v>362</v>
      </c>
      <c r="B316" s="7">
        <v>2</v>
      </c>
      <c r="C316" s="7" t="s">
        <v>365</v>
      </c>
      <c r="D316" s="9">
        <v>0</v>
      </c>
      <c r="E316" s="43">
        <v>239</v>
      </c>
      <c r="F316" s="9">
        <v>0</v>
      </c>
      <c r="G316" s="43">
        <v>3097</v>
      </c>
      <c r="H316" s="43">
        <v>0</v>
      </c>
      <c r="I316" s="9">
        <v>0</v>
      </c>
      <c r="J316" s="9">
        <v>0</v>
      </c>
      <c r="K316" s="9">
        <v>0</v>
      </c>
      <c r="L316" s="43">
        <v>0</v>
      </c>
      <c r="M316" s="9">
        <v>0</v>
      </c>
      <c r="N316" s="43">
        <v>155</v>
      </c>
      <c r="O316" s="43">
        <v>0</v>
      </c>
      <c r="P316" s="9">
        <v>0</v>
      </c>
      <c r="Q316" s="43">
        <v>16500</v>
      </c>
      <c r="R316" s="43">
        <v>1145</v>
      </c>
      <c r="S316" s="43">
        <v>1624</v>
      </c>
      <c r="T316" s="9">
        <v>0</v>
      </c>
      <c r="U316" s="9">
        <v>0</v>
      </c>
      <c r="V316" s="9">
        <v>0</v>
      </c>
      <c r="W316" s="9">
        <v>0</v>
      </c>
      <c r="X316" s="9">
        <v>0</v>
      </c>
      <c r="Y316" s="9">
        <v>0</v>
      </c>
      <c r="Z316" s="43">
        <v>0</v>
      </c>
      <c r="AA316" s="43">
        <v>0</v>
      </c>
      <c r="AB316" s="9">
        <v>0</v>
      </c>
      <c r="AC316" s="43">
        <v>7921</v>
      </c>
      <c r="AD316" s="13">
        <f t="shared" si="28"/>
        <v>6260</v>
      </c>
      <c r="AE316" s="13">
        <f t="shared" si="29"/>
        <v>7921</v>
      </c>
      <c r="AF316" s="13">
        <f t="shared" si="30"/>
        <v>16500</v>
      </c>
      <c r="AG316" s="13">
        <f t="shared" ref="AG316:AI318" si="40">AG315+AD316</f>
        <v>7293</v>
      </c>
      <c r="AH316" s="13">
        <f t="shared" si="40"/>
        <v>9979</v>
      </c>
      <c r="AI316" s="13">
        <f t="shared" si="40"/>
        <v>16500</v>
      </c>
    </row>
    <row r="317" spans="1:35" x14ac:dyDescent="0.25">
      <c r="A317" s="6" t="s">
        <v>362</v>
      </c>
      <c r="B317" s="7">
        <v>3</v>
      </c>
      <c r="C317" s="7" t="s">
        <v>365</v>
      </c>
      <c r="D317" s="9">
        <v>0</v>
      </c>
      <c r="E317" s="43">
        <v>102</v>
      </c>
      <c r="F317" s="9">
        <v>0</v>
      </c>
      <c r="G317" s="43">
        <v>1500</v>
      </c>
      <c r="H317" s="43">
        <v>0</v>
      </c>
      <c r="I317" s="9">
        <v>0</v>
      </c>
      <c r="J317" s="9">
        <v>0</v>
      </c>
      <c r="K317" s="9">
        <v>0</v>
      </c>
      <c r="L317" s="43">
        <v>0</v>
      </c>
      <c r="M317" s="9">
        <v>0</v>
      </c>
      <c r="N317" s="43">
        <v>107</v>
      </c>
      <c r="O317" s="43">
        <v>0</v>
      </c>
      <c r="P317" s="9">
        <v>0</v>
      </c>
      <c r="Q317" s="43">
        <v>0</v>
      </c>
      <c r="R317" s="43">
        <v>989</v>
      </c>
      <c r="S317" s="43">
        <v>967</v>
      </c>
      <c r="T317" s="9">
        <v>0</v>
      </c>
      <c r="U317" s="9">
        <v>0</v>
      </c>
      <c r="V317" s="9">
        <v>0</v>
      </c>
      <c r="W317" s="9">
        <v>0</v>
      </c>
      <c r="X317" s="9">
        <v>0</v>
      </c>
      <c r="Y317" s="9">
        <v>0</v>
      </c>
      <c r="Z317" s="43">
        <v>0</v>
      </c>
      <c r="AA317" s="43">
        <v>48997</v>
      </c>
      <c r="AB317" s="9">
        <v>0</v>
      </c>
      <c r="AC317" s="43">
        <v>3692</v>
      </c>
      <c r="AD317" s="13">
        <f t="shared" ref="AD317" si="41">E317+S317+N317+G317+R317</f>
        <v>3665</v>
      </c>
      <c r="AE317" s="13">
        <f t="shared" ref="AE317" si="42">AC317</f>
        <v>3692</v>
      </c>
      <c r="AF317" s="13">
        <f t="shared" ref="AF317" si="43">SUM(D317:AC317)-AD317-AE317</f>
        <v>48997</v>
      </c>
      <c r="AG317" s="13">
        <f t="shared" si="40"/>
        <v>10958</v>
      </c>
      <c r="AH317" s="13">
        <f t="shared" si="40"/>
        <v>13671</v>
      </c>
      <c r="AI317" s="13">
        <f t="shared" si="40"/>
        <v>65497</v>
      </c>
    </row>
    <row r="318" spans="1:35" x14ac:dyDescent="0.25">
      <c r="A318" s="6" t="s">
        <v>362</v>
      </c>
      <c r="B318" s="7">
        <v>4</v>
      </c>
      <c r="C318" s="7" t="s">
        <v>368</v>
      </c>
      <c r="D318" s="9">
        <v>0</v>
      </c>
      <c r="E318" s="43">
        <v>107</v>
      </c>
      <c r="F318" s="9">
        <v>0</v>
      </c>
      <c r="G318" s="43">
        <v>2358</v>
      </c>
      <c r="H318" s="43">
        <v>0</v>
      </c>
      <c r="I318" s="9">
        <v>0</v>
      </c>
      <c r="J318" s="9">
        <v>0</v>
      </c>
      <c r="K318" s="9">
        <v>0</v>
      </c>
      <c r="L318" s="43">
        <v>0</v>
      </c>
      <c r="M318" s="9">
        <v>0</v>
      </c>
      <c r="N318" s="43">
        <v>157</v>
      </c>
      <c r="O318" s="43">
        <v>0</v>
      </c>
      <c r="P318" s="9">
        <v>0</v>
      </c>
      <c r="Q318" s="43">
        <v>0</v>
      </c>
      <c r="R318" s="43">
        <v>1087</v>
      </c>
      <c r="S318" s="43">
        <v>706</v>
      </c>
      <c r="T318" s="9">
        <v>0</v>
      </c>
      <c r="U318" s="9">
        <v>0</v>
      </c>
      <c r="V318" s="9">
        <v>0</v>
      </c>
      <c r="W318" s="9">
        <v>0</v>
      </c>
      <c r="X318" s="9">
        <v>0</v>
      </c>
      <c r="Y318" s="9">
        <v>0</v>
      </c>
      <c r="Z318" s="43">
        <v>0</v>
      </c>
      <c r="AA318" s="43">
        <v>65307</v>
      </c>
      <c r="AB318" s="9">
        <v>0</v>
      </c>
      <c r="AC318" s="43">
        <v>875</v>
      </c>
      <c r="AD318" s="13">
        <f t="shared" ref="AD318" si="44">E318+S318+N318+G318+R318</f>
        <v>4415</v>
      </c>
      <c r="AE318" s="13">
        <f t="shared" ref="AE318" si="45">AC318</f>
        <v>875</v>
      </c>
      <c r="AF318" s="13">
        <f t="shared" ref="AF318" si="46">SUM(D318:AC318)-AD318-AE318</f>
        <v>65307</v>
      </c>
      <c r="AG318" s="13">
        <f t="shared" si="40"/>
        <v>15373</v>
      </c>
      <c r="AH318" s="13">
        <f t="shared" si="40"/>
        <v>14546</v>
      </c>
      <c r="AI318" s="13">
        <f t="shared" si="40"/>
        <v>130804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ECE796D7EABA42BC0DB2CA73C7CE00" ma:contentTypeVersion="16" ma:contentTypeDescription="Create a new document." ma:contentTypeScope="" ma:versionID="e2ecee1b3d34a959aed38d5dc4c878f4">
  <xsd:schema xmlns:xsd="http://www.w3.org/2001/XMLSchema" xmlns:xs="http://www.w3.org/2001/XMLSchema" xmlns:p="http://schemas.microsoft.com/office/2006/metadata/properties" xmlns:ns2="3fe4ae0e-3af2-48f1-b2fd-da4a302e5eb8" xmlns:ns3="ae149517-eeaa-465d-b3b6-396a1e23bc6e" targetNamespace="http://schemas.microsoft.com/office/2006/metadata/properties" ma:root="true" ma:fieldsID="9af26d9f7c79c0f2a842447557dfee25" ns2:_="" ns3:_="">
    <xsd:import namespace="3fe4ae0e-3af2-48f1-b2fd-da4a302e5eb8"/>
    <xsd:import namespace="ae149517-eeaa-465d-b3b6-396a1e23bc6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e4ae0e-3af2-48f1-b2fd-da4a302e5e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8c2128d-7fdb-466e-89f3-d531dbcf02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149517-eeaa-465d-b3b6-396a1e23bc6e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8cce5955-1f8d-479c-a449-cd7312e93e68}" ma:internalName="TaxCatchAll" ma:showField="CatchAllData" ma:web="ae149517-eeaa-465d-b3b6-396a1e23bc6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e149517-eeaa-465d-b3b6-396a1e23bc6e" xsi:nil="true"/>
    <lcf76f155ced4ddcb4097134ff3c332f xmlns="3fe4ae0e-3af2-48f1-b2fd-da4a302e5e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D454844-2C41-4F25-8FFA-062F46F8F2E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e4ae0e-3af2-48f1-b2fd-da4a302e5eb8"/>
    <ds:schemaRef ds:uri="ae149517-eeaa-465d-b3b6-396a1e23bc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5FB53C3-37A7-437E-9F37-88E22F1F7F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FC28B39-0563-4215-8E49-778478D60A2B}">
  <ds:schemaRefs>
    <ds:schemaRef ds:uri="http://schemas.microsoft.com/office/2006/metadata/properties"/>
    <ds:schemaRef ds:uri="http://schemas.microsoft.com/office/infopath/2007/PartnerControls"/>
    <ds:schemaRef ds:uri="ae149517-eeaa-465d-b3b6-396a1e23bc6e"/>
    <ds:schemaRef ds:uri="3fe4ae0e-3af2-48f1-b2fd-da4a302e5e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White RSA Exports</vt:lpstr>
      <vt:lpstr>YELLOW RSA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Myburgh Swiegers</dc:creator>
  <cp:lastModifiedBy>Myburgh Swiegers</cp:lastModifiedBy>
  <dcterms:created xsi:type="dcterms:W3CDTF">2015-06-05T18:17:20Z</dcterms:created>
  <dcterms:modified xsi:type="dcterms:W3CDTF">2026-06-01T13:33:02Z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0x01010075ECE796D7EABA42BC0DB2CA73C7CE00</vt:lpwstr>
  </property>
  <property fmtid="{D5CDD505-2E9C-101B-9397-08002B2CF9AE}" pid="3" name="MediaServiceImageTags">
    <vt:lpwstr/>
  </property>
</Properties>
</file>