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guardsa.sharepoint.com/sites/Vanguard/Shared Documents/VANGUARD REPORTS/SAGIS - Weekly Imports &amp; Exports/Myburgh Report/Historic/Koring/"/>
    </mc:Choice>
  </mc:AlternateContent>
  <xr:revisionPtr revIDLastSave="2" documentId="8_{5A815B79-D4B4-4D21-99A5-6589E083FE25}" xr6:coauthVersionLast="47" xr6:coauthVersionMax="47" xr10:uidLastSave="{8320E353-23C8-49C8-89B9-921477CD7618}"/>
  <bookViews>
    <workbookView xWindow="28680" yWindow="-120" windowWidth="29040" windowHeight="15840" activeTab="1" xr2:uid="{00000000-000D-0000-FFFF-FFFF00000000}"/>
  </bookViews>
  <sheets>
    <sheet name="RSA EXPORTS" sheetId="1" r:id="rId1"/>
    <sheet name="IMPORTS FOR RSA" sheetId="2" r:id="rId2"/>
    <sheet name="IMPORTS FOR OTHER COUNTRIES" sheetId="3" r:id="rId3"/>
    <sheet name="EXPORTS OF IMPORTED WHEAT" sheetId="4" r:id="rId4"/>
    <sheet name="IMPORTS PER HARBOUR" sheetId="5" r:id="rId5"/>
    <sheet name="EXPORT PER HARBOU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E18" i="6"/>
  <c r="D18" i="6"/>
  <c r="C18" i="6"/>
  <c r="G17" i="6"/>
  <c r="G16" i="6"/>
  <c r="G15" i="6"/>
  <c r="G14" i="6"/>
  <c r="G13" i="6"/>
  <c r="G12" i="6"/>
  <c r="G11" i="6"/>
  <c r="G10" i="6"/>
  <c r="G18" i="6" s="1"/>
  <c r="F18" i="5"/>
  <c r="E18" i="5"/>
  <c r="D18" i="5"/>
  <c r="C18" i="5"/>
  <c r="G17" i="5"/>
  <c r="G16" i="5"/>
  <c r="G15" i="5"/>
  <c r="G14" i="5"/>
  <c r="G13" i="5"/>
  <c r="G18" i="5" s="1"/>
  <c r="G12" i="5"/>
  <c r="G11" i="5"/>
  <c r="G10" i="5"/>
  <c r="H10" i="5" s="1"/>
  <c r="F18" i="4"/>
  <c r="E18" i="4"/>
  <c r="D18" i="4"/>
  <c r="C18" i="4"/>
  <c r="G17" i="4"/>
  <c r="G16" i="4"/>
  <c r="G15" i="4"/>
  <c r="G14" i="4"/>
  <c r="G13" i="4"/>
  <c r="G12" i="4"/>
  <c r="G11" i="4"/>
  <c r="G10" i="4"/>
  <c r="G18" i="4" s="1"/>
  <c r="G18" i="3"/>
  <c r="F18" i="3"/>
  <c r="E18" i="3"/>
  <c r="D18" i="3"/>
  <c r="C18" i="3"/>
  <c r="H17" i="3"/>
  <c r="H16" i="3"/>
  <c r="H15" i="3"/>
  <c r="H14" i="3"/>
  <c r="H13" i="3"/>
  <c r="H12" i="3"/>
  <c r="H11" i="3"/>
  <c r="H10" i="3"/>
  <c r="I18" i="2"/>
  <c r="H18" i="2"/>
  <c r="G18" i="2"/>
  <c r="F18" i="2"/>
  <c r="E18" i="2"/>
  <c r="D18" i="2"/>
  <c r="C18" i="2"/>
  <c r="J17" i="2"/>
  <c r="J16" i="2"/>
  <c r="J15" i="2"/>
  <c r="J14" i="2"/>
  <c r="J13" i="2"/>
  <c r="J12" i="2"/>
  <c r="J11" i="2"/>
  <c r="J10" i="2"/>
  <c r="K10" i="2" s="1"/>
  <c r="G18" i="1"/>
  <c r="F18" i="1"/>
  <c r="E18" i="1"/>
  <c r="D18" i="1"/>
  <c r="C18" i="1"/>
  <c r="H17" i="1"/>
  <c r="H16" i="1"/>
  <c r="H15" i="1"/>
  <c r="H14" i="1"/>
  <c r="H13" i="1"/>
  <c r="H12" i="1"/>
  <c r="H11" i="1"/>
  <c r="H10" i="1"/>
  <c r="H18" i="1" s="1"/>
  <c r="H18" i="3" l="1"/>
  <c r="H11" i="5"/>
  <c r="H12" i="5" s="1"/>
  <c r="H13" i="5" s="1"/>
  <c r="H14" i="5" s="1"/>
  <c r="H15" i="5" s="1"/>
  <c r="H16" i="5" s="1"/>
  <c r="H17" i="5" s="1"/>
  <c r="K11" i="2"/>
  <c r="K12" i="2" s="1"/>
  <c r="K13" i="2" s="1"/>
  <c r="K14" i="2" s="1"/>
  <c r="K15" i="2" s="1"/>
  <c r="K16" i="2" s="1"/>
  <c r="K17" i="2" s="1"/>
  <c r="H10" i="4"/>
  <c r="H11" i="4" s="1"/>
  <c r="H12" i="4" s="1"/>
  <c r="H13" i="4" s="1"/>
  <c r="H14" i="4" s="1"/>
  <c r="H15" i="4" s="1"/>
  <c r="H16" i="4" s="1"/>
  <c r="H17" i="4" s="1"/>
  <c r="J18" i="2"/>
  <c r="H10" i="6"/>
  <c r="H11" i="6" s="1"/>
  <c r="H12" i="6" s="1"/>
  <c r="H13" i="6" s="1"/>
  <c r="H14" i="6" s="1"/>
  <c r="H15" i="6" s="1"/>
  <c r="H16" i="6" s="1"/>
  <c r="H17" i="6" s="1"/>
  <c r="I10" i="1"/>
  <c r="I11" i="1" s="1"/>
  <c r="I12" i="1" s="1"/>
  <c r="I13" i="1" s="1"/>
  <c r="I14" i="1" s="1"/>
  <c r="I15" i="1" s="1"/>
  <c r="I16" i="1" s="1"/>
  <c r="I17" i="1" s="1"/>
  <c r="I10" i="3"/>
  <c r="I11" i="3" s="1"/>
  <c r="I12" i="3" s="1"/>
  <c r="I13" i="3" s="1"/>
  <c r="I14" i="3" s="1"/>
  <c r="I15" i="3" s="1"/>
  <c r="I16" i="3" s="1"/>
  <c r="I17" i="3" s="1"/>
</calcChain>
</file>

<file path=xl/sharedStrings.xml><?xml version="1.0" encoding="utf-8"?>
<sst xmlns="http://schemas.openxmlformats.org/spreadsheetml/2006/main" count="127" uniqueCount="47">
  <si>
    <t>WHEAT: RSA EXPORTS - 2025/26 SEASON</t>
  </si>
  <si>
    <t>KORING: RSA UITVOERE - 2025/26 SEISOEN</t>
  </si>
  <si>
    <t/>
  </si>
  <si>
    <t>Week</t>
  </si>
  <si>
    <t>BOTSWANA</t>
  </si>
  <si>
    <t>LESOTHO</t>
  </si>
  <si>
    <t>NAMIBIA</t>
  </si>
  <si>
    <t>ZAMBIA</t>
  </si>
  <si>
    <t>ZIMBABWE</t>
  </si>
  <si>
    <t>27 Sep - 03 Oct/Okt 2025</t>
  </si>
  <si>
    <t>04 Oct/Okt - 10 Oct/Okt 2025</t>
  </si>
  <si>
    <t>11 Oct/Okt - 17 Oct/Okt 2025</t>
  </si>
  <si>
    <t>18 Oct/Okt - 24 Oct/Okt 2025</t>
  </si>
  <si>
    <t>25 Oct/Okt - 31 Oct/Okt 2025</t>
  </si>
  <si>
    <t>01 Nov - 07 Nov 2025</t>
  </si>
  <si>
    <t>08 Nov - 14 Nov 2025</t>
  </si>
  <si>
    <t>15 Nov - 21 Nov 2025</t>
  </si>
  <si>
    <t>Total</t>
  </si>
  <si>
    <t>WHEAT: WEEKLY IMPORTS FOR RSA - 2025/26 SEASON</t>
  </si>
  <si>
    <t>KORING: WEEKLIKSE INVOERE VIR RSA - 2025/26 SEISOEN</t>
  </si>
  <si>
    <t>AUSTRALIA</t>
  </si>
  <si>
    <t>LATVIA</t>
  </si>
  <si>
    <t>LITHUANIA</t>
  </si>
  <si>
    <t>POLAND</t>
  </si>
  <si>
    <t>ROMANIA</t>
  </si>
  <si>
    <t>RUSSIAN FEDERATION</t>
  </si>
  <si>
    <t>UNITED STATES</t>
  </si>
  <si>
    <t>WHEAT: WEEKLY IMPORTS FOR OTHER COUNTRIES - 2025/26 SEASON</t>
  </si>
  <si>
    <t>KORING: WEEKLIKSE INVOERE VIR ANDER LANDE - 2025/26 SEISOEN</t>
  </si>
  <si>
    <t>WHEAT: EXPORTS OF IMPORTED WHEAT - 2025/26 SEASON</t>
  </si>
  <si>
    <t>KORING: UITVOERE VAN INGEVOERDE KORING - 2025/26 SEISOEN</t>
  </si>
  <si>
    <t>ESWATINI (SWAZILAND)</t>
  </si>
  <si>
    <t>WHEAT: WEEKLY IMPORT PER HARBOUR - 2025/26 SEASON</t>
  </si>
  <si>
    <t>KORING: WEEKLIKSE INVOER PER HAWE - 2025/26 SEISOEN</t>
  </si>
  <si>
    <t>Cape Town</t>
  </si>
  <si>
    <t>Durban</t>
  </si>
  <si>
    <t>East London</t>
  </si>
  <si>
    <t>Port Elizabeth</t>
  </si>
  <si>
    <t>WHEAT: WEEKLY EXPORT PER HARBOUR - 2025/26 SEASON</t>
  </si>
  <si>
    <t>KORING: WEEKLIKSE UITVOER PER HAWE - 2025/26 SEISOEN</t>
  </si>
  <si>
    <t>Week Total/Totaal</t>
  </si>
  <si>
    <t>Progressive Total/Totaal</t>
  </si>
  <si>
    <t>*Week Total/Totaal</t>
  </si>
  <si>
    <t>*Progressive Total/Totaal</t>
  </si>
  <si>
    <t>*Total</t>
  </si>
  <si>
    <t xml:space="preserve">* Includes: Imports for RSA and other Countries </t>
  </si>
  <si>
    <t xml:space="preserve">* Sluit in: Invoere vir RSA en ander lande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</si>
</sst>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2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7</xdr:col>
      <xdr:colOff>28575</xdr:colOff>
      <xdr:row>4</xdr:row>
      <xdr:rowOff>28575</xdr:rowOff>
    </xdr:to>
    <xdr:pic>
      <xdr:nvPicPr>
        <xdr:cNvPr id="2" name="LogoRSA EXPOR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7</xdr:col>
      <xdr:colOff>28575</xdr:colOff>
      <xdr:row>4</xdr:row>
      <xdr:rowOff>28575</xdr:rowOff>
    </xdr:to>
    <xdr:pic>
      <xdr:nvPicPr>
        <xdr:cNvPr id="2" name="LogoIMPORTS FOR RS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885825</xdr:colOff>
      <xdr:row>4</xdr:row>
      <xdr:rowOff>28575</xdr:rowOff>
    </xdr:to>
    <xdr:pic>
      <xdr:nvPicPr>
        <xdr:cNvPr id="2" name="LogoIMPORTS FOR OTHER COUNTRIE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533400</xdr:colOff>
      <xdr:row>4</xdr:row>
      <xdr:rowOff>28575</xdr:rowOff>
    </xdr:to>
    <xdr:pic>
      <xdr:nvPicPr>
        <xdr:cNvPr id="3" name="LogoEXPORTS OF IMPORTED WHEA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704850</xdr:colOff>
      <xdr:row>4</xdr:row>
      <xdr:rowOff>28575</xdr:rowOff>
    </xdr:to>
    <xdr:pic>
      <xdr:nvPicPr>
        <xdr:cNvPr id="4" name="LogoIMPORTS PER HARBOU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704850</xdr:colOff>
      <xdr:row>4</xdr:row>
      <xdr:rowOff>28575</xdr:rowOff>
    </xdr:to>
    <xdr:pic>
      <xdr:nvPicPr>
        <xdr:cNvPr id="5" name="LogoEXPORT PER HARBOU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I18"/>
  <sheetViews>
    <sheetView workbookViewId="0">
      <selection activeCell="F29" sqref="F29"/>
    </sheetView>
  </sheetViews>
  <sheetFormatPr defaultRowHeight="15" x14ac:dyDescent="0.25"/>
  <cols>
    <col min="1" max="1" width="10" customWidth="1"/>
    <col min="2" max="2" width="26" customWidth="1"/>
    <col min="3" max="3" width="12.7109375" customWidth="1"/>
    <col min="4" max="4" width="10.85546875" customWidth="1"/>
    <col min="5" max="5" width="10.28515625" customWidth="1"/>
    <col min="6" max="6" width="10" customWidth="1"/>
    <col min="7" max="7" width="12.5703125" customWidth="1"/>
    <col min="8" max="8" width="16.28515625" bestFit="1" customWidth="1"/>
    <col min="9" max="9" width="21.7109375" bestFit="1" customWidth="1"/>
  </cols>
  <sheetData>
    <row r="6" spans="1:9" ht="15.75" x14ac:dyDescent="0.25">
      <c r="A6" s="6" t="s">
        <v>0</v>
      </c>
      <c r="B6" s="7"/>
      <c r="C6" s="7"/>
      <c r="D6" s="7"/>
      <c r="E6" s="7"/>
      <c r="F6" s="7"/>
      <c r="G6" s="7"/>
      <c r="H6" s="7"/>
      <c r="I6" s="8"/>
    </row>
    <row r="7" spans="1:9" ht="15.75" x14ac:dyDescent="0.25">
      <c r="A7" s="6" t="s">
        <v>1</v>
      </c>
      <c r="B7" s="7"/>
      <c r="C7" s="7"/>
      <c r="D7" s="7"/>
      <c r="E7" s="7"/>
      <c r="F7" s="7"/>
      <c r="G7" s="7"/>
      <c r="H7" s="7"/>
      <c r="I7" s="8"/>
    </row>
    <row r="8" spans="1:9" x14ac:dyDescent="0.25">
      <c r="A8" s="9" t="s">
        <v>2</v>
      </c>
      <c r="B8" s="10"/>
      <c r="C8" s="10"/>
      <c r="D8" s="10"/>
      <c r="E8" s="10"/>
      <c r="F8" s="10"/>
      <c r="G8" s="10"/>
      <c r="H8" s="10"/>
      <c r="I8" s="11"/>
    </row>
    <row r="9" spans="1:9" x14ac:dyDescent="0.25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4" t="s">
        <v>40</v>
      </c>
      <c r="I9" s="4" t="s">
        <v>41</v>
      </c>
    </row>
    <row r="10" spans="1:9" x14ac:dyDescent="0.25">
      <c r="A10" s="3">
        <v>1</v>
      </c>
      <c r="B10" s="3" t="s">
        <v>9</v>
      </c>
      <c r="C10" s="2">
        <v>105</v>
      </c>
      <c r="D10" s="2">
        <v>857</v>
      </c>
      <c r="E10" s="2">
        <v>0</v>
      </c>
      <c r="F10" s="2">
        <v>168</v>
      </c>
      <c r="G10" s="2">
        <v>246</v>
      </c>
      <c r="H10" s="3">
        <f t="shared" ref="H10:H17" si="0">SUM(C10:G10)</f>
        <v>1376</v>
      </c>
      <c r="I10" s="3">
        <f>H10</f>
        <v>1376</v>
      </c>
    </row>
    <row r="11" spans="1:9" x14ac:dyDescent="0.25">
      <c r="A11" s="3">
        <v>2</v>
      </c>
      <c r="B11" s="3" t="s">
        <v>10</v>
      </c>
      <c r="C11" s="2">
        <v>140</v>
      </c>
      <c r="D11" s="2">
        <v>357</v>
      </c>
      <c r="E11" s="2">
        <v>0</v>
      </c>
      <c r="F11" s="2">
        <v>21</v>
      </c>
      <c r="G11" s="2">
        <v>582</v>
      </c>
      <c r="H11" s="3">
        <f t="shared" si="0"/>
        <v>1100</v>
      </c>
      <c r="I11" s="3">
        <f t="shared" ref="I11:I17" si="1">H11+I10</f>
        <v>2476</v>
      </c>
    </row>
    <row r="12" spans="1:9" x14ac:dyDescent="0.25">
      <c r="A12" s="3">
        <v>3</v>
      </c>
      <c r="B12" s="3" t="s">
        <v>11</v>
      </c>
      <c r="C12" s="2">
        <v>36</v>
      </c>
      <c r="D12" s="2">
        <v>0</v>
      </c>
      <c r="E12" s="2">
        <v>0</v>
      </c>
      <c r="F12" s="2">
        <v>0</v>
      </c>
      <c r="G12" s="2">
        <v>102</v>
      </c>
      <c r="H12" s="3">
        <f t="shared" si="0"/>
        <v>138</v>
      </c>
      <c r="I12" s="3">
        <f t="shared" si="1"/>
        <v>2614</v>
      </c>
    </row>
    <row r="13" spans="1:9" x14ac:dyDescent="0.25">
      <c r="A13" s="3">
        <v>4</v>
      </c>
      <c r="B13" s="3" t="s">
        <v>12</v>
      </c>
      <c r="C13" s="2">
        <v>0</v>
      </c>
      <c r="D13" s="2">
        <v>316</v>
      </c>
      <c r="E13" s="2">
        <v>0</v>
      </c>
      <c r="F13" s="2">
        <v>36</v>
      </c>
      <c r="G13" s="2">
        <v>533</v>
      </c>
      <c r="H13" s="3">
        <f t="shared" si="0"/>
        <v>885</v>
      </c>
      <c r="I13" s="3">
        <f t="shared" si="1"/>
        <v>3499</v>
      </c>
    </row>
    <row r="14" spans="1:9" x14ac:dyDescent="0.25">
      <c r="A14" s="3">
        <v>5</v>
      </c>
      <c r="B14" s="3" t="s">
        <v>13</v>
      </c>
      <c r="C14" s="2">
        <v>0</v>
      </c>
      <c r="D14" s="2">
        <v>310</v>
      </c>
      <c r="E14" s="2">
        <v>0</v>
      </c>
      <c r="F14" s="2">
        <v>64</v>
      </c>
      <c r="G14" s="2">
        <v>784</v>
      </c>
      <c r="H14" s="3">
        <f t="shared" si="0"/>
        <v>1158</v>
      </c>
      <c r="I14" s="3">
        <f t="shared" si="1"/>
        <v>4657</v>
      </c>
    </row>
    <row r="15" spans="1:9" x14ac:dyDescent="0.25">
      <c r="A15" s="3">
        <v>6</v>
      </c>
      <c r="B15" s="3" t="s">
        <v>14</v>
      </c>
      <c r="C15" s="2">
        <v>33</v>
      </c>
      <c r="D15" s="2">
        <v>253</v>
      </c>
      <c r="E15" s="2">
        <v>0</v>
      </c>
      <c r="F15" s="2">
        <v>0</v>
      </c>
      <c r="G15" s="2">
        <v>0</v>
      </c>
      <c r="H15" s="3">
        <f t="shared" si="0"/>
        <v>286</v>
      </c>
      <c r="I15" s="3">
        <f t="shared" si="1"/>
        <v>4943</v>
      </c>
    </row>
    <row r="16" spans="1:9" x14ac:dyDescent="0.25">
      <c r="A16" s="3">
        <v>7</v>
      </c>
      <c r="B16" s="3" t="s">
        <v>15</v>
      </c>
      <c r="C16" s="2">
        <v>64</v>
      </c>
      <c r="D16" s="2">
        <v>646</v>
      </c>
      <c r="E16" s="2">
        <v>111</v>
      </c>
      <c r="F16" s="2">
        <v>0</v>
      </c>
      <c r="G16" s="2">
        <v>106</v>
      </c>
      <c r="H16" s="3">
        <f t="shared" si="0"/>
        <v>927</v>
      </c>
      <c r="I16" s="3">
        <f t="shared" si="1"/>
        <v>5870</v>
      </c>
    </row>
    <row r="17" spans="1:9" x14ac:dyDescent="0.25">
      <c r="A17" s="3">
        <v>8</v>
      </c>
      <c r="B17" s="3" t="s">
        <v>16</v>
      </c>
      <c r="C17" s="2">
        <v>99</v>
      </c>
      <c r="D17" s="2">
        <v>0</v>
      </c>
      <c r="E17" s="2">
        <v>0</v>
      </c>
      <c r="F17" s="2">
        <v>0</v>
      </c>
      <c r="G17" s="2">
        <v>0</v>
      </c>
      <c r="H17" s="3">
        <f t="shared" si="0"/>
        <v>99</v>
      </c>
      <c r="I17" s="3">
        <f t="shared" si="1"/>
        <v>5969</v>
      </c>
    </row>
    <row r="18" spans="1:9" x14ac:dyDescent="0.25">
      <c r="A18" s="3" t="s">
        <v>2</v>
      </c>
      <c r="B18" s="3" t="s">
        <v>17</v>
      </c>
      <c r="C18" s="3">
        <f t="shared" ref="C18:G18" si="2">SUM(C10:C17)</f>
        <v>477</v>
      </c>
      <c r="D18" s="3">
        <f t="shared" si="2"/>
        <v>2739</v>
      </c>
      <c r="E18" s="3">
        <f t="shared" si="2"/>
        <v>111</v>
      </c>
      <c r="F18" s="3">
        <f t="shared" si="2"/>
        <v>289</v>
      </c>
      <c r="G18" s="3">
        <f t="shared" si="2"/>
        <v>2353</v>
      </c>
      <c r="H18" s="3">
        <f>SUM(H10:H17)</f>
        <v>5969</v>
      </c>
      <c r="I18" s="3"/>
    </row>
  </sheetData>
  <mergeCells count="3">
    <mergeCell ref="A6:I6"/>
    <mergeCell ref="A7:I7"/>
    <mergeCell ref="A8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M18"/>
  <sheetViews>
    <sheetView tabSelected="1" workbookViewId="0">
      <selection activeCell="L20" sqref="L20"/>
    </sheetView>
  </sheetViews>
  <sheetFormatPr defaultRowHeight="15" x14ac:dyDescent="0.25"/>
  <cols>
    <col min="1" max="1" width="10" customWidth="1"/>
    <col min="2" max="2" width="26" customWidth="1"/>
    <col min="3" max="3" width="12.85546875" customWidth="1"/>
    <col min="4" max="4" width="10" customWidth="1"/>
    <col min="5" max="5" width="12.7109375" customWidth="1"/>
    <col min="6" max="6" width="10" customWidth="1"/>
    <col min="7" max="7" width="11.140625" customWidth="1"/>
    <col min="8" max="8" width="23.5703125" customWidth="1"/>
    <col min="9" max="9" width="17" customWidth="1"/>
    <col min="10" max="10" width="16.28515625" bestFit="1" customWidth="1"/>
    <col min="11" max="11" width="21.7109375" bestFit="1" customWidth="1"/>
  </cols>
  <sheetData>
    <row r="6" spans="1:13" ht="15.75" x14ac:dyDescent="0.25">
      <c r="A6" s="6" t="s">
        <v>18</v>
      </c>
      <c r="B6" s="7"/>
      <c r="C6" s="7"/>
      <c r="D6" s="7"/>
      <c r="E6" s="7"/>
      <c r="F6" s="7"/>
      <c r="G6" s="7"/>
      <c r="H6" s="7"/>
      <c r="I6" s="7"/>
      <c r="J6" s="7"/>
      <c r="K6" s="8"/>
    </row>
    <row r="7" spans="1:13" ht="15.75" x14ac:dyDescent="0.25">
      <c r="A7" s="6" t="s">
        <v>19</v>
      </c>
      <c r="B7" s="7"/>
      <c r="C7" s="7"/>
      <c r="D7" s="7"/>
      <c r="E7" s="7"/>
      <c r="F7" s="7"/>
      <c r="G7" s="7"/>
      <c r="H7" s="7"/>
      <c r="I7" s="7"/>
      <c r="J7" s="7"/>
      <c r="K7" s="8"/>
    </row>
    <row r="8" spans="1:13" x14ac:dyDescent="0.25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3" x14ac:dyDescent="0.25">
      <c r="A9" s="1"/>
      <c r="B9" s="1" t="s">
        <v>3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4" t="s">
        <v>40</v>
      </c>
      <c r="K9" s="4" t="s">
        <v>41</v>
      </c>
    </row>
    <row r="10" spans="1:13" x14ac:dyDescent="0.25">
      <c r="A10" s="3">
        <v>1</v>
      </c>
      <c r="B10" s="3" t="s">
        <v>9</v>
      </c>
      <c r="C10" s="2">
        <v>0</v>
      </c>
      <c r="D10" s="2">
        <v>0</v>
      </c>
      <c r="E10" s="2">
        <v>8800</v>
      </c>
      <c r="F10" s="2">
        <v>930</v>
      </c>
      <c r="G10" s="2">
        <v>0</v>
      </c>
      <c r="H10" s="2">
        <v>0</v>
      </c>
      <c r="I10" s="2">
        <v>0</v>
      </c>
      <c r="J10" s="3">
        <f t="shared" ref="J10:J17" si="0">SUM(C10:I10)</f>
        <v>9730</v>
      </c>
      <c r="K10" s="3">
        <f>J10</f>
        <v>9730</v>
      </c>
    </row>
    <row r="11" spans="1:13" x14ac:dyDescent="0.25">
      <c r="A11" s="3">
        <v>2</v>
      </c>
      <c r="B11" s="3" t="s">
        <v>10</v>
      </c>
      <c r="C11" s="2">
        <v>0</v>
      </c>
      <c r="D11" s="2">
        <v>0</v>
      </c>
      <c r="E11" s="2">
        <v>0</v>
      </c>
      <c r="F11" s="2">
        <v>54357</v>
      </c>
      <c r="G11" s="2">
        <v>0</v>
      </c>
      <c r="H11" s="2">
        <v>0</v>
      </c>
      <c r="I11" s="2">
        <v>18038</v>
      </c>
      <c r="J11" s="3">
        <f t="shared" si="0"/>
        <v>72395</v>
      </c>
      <c r="K11" s="3">
        <f t="shared" ref="K11:K17" si="1">J11+K10</f>
        <v>82125</v>
      </c>
    </row>
    <row r="12" spans="1:13" x14ac:dyDescent="0.25">
      <c r="A12" s="3">
        <v>3</v>
      </c>
      <c r="B12" s="3" t="s">
        <v>11</v>
      </c>
      <c r="C12" s="2">
        <v>0</v>
      </c>
      <c r="D12" s="2">
        <v>0</v>
      </c>
      <c r="E12" s="2">
        <v>17099</v>
      </c>
      <c r="F12" s="2">
        <v>0</v>
      </c>
      <c r="G12" s="2">
        <v>0</v>
      </c>
      <c r="H12" s="2">
        <v>19100</v>
      </c>
      <c r="I12" s="2">
        <v>15206</v>
      </c>
      <c r="J12" s="3">
        <f t="shared" si="0"/>
        <v>51405</v>
      </c>
      <c r="K12" s="3">
        <f t="shared" si="1"/>
        <v>133530</v>
      </c>
    </row>
    <row r="13" spans="1:13" x14ac:dyDescent="0.25">
      <c r="A13" s="3">
        <v>4</v>
      </c>
      <c r="B13" s="3" t="s">
        <v>12</v>
      </c>
      <c r="C13" s="2">
        <v>52722</v>
      </c>
      <c r="D13" s="2">
        <v>0</v>
      </c>
      <c r="E13" s="2">
        <v>4385</v>
      </c>
      <c r="F13" s="2">
        <v>0</v>
      </c>
      <c r="G13" s="2">
        <v>0</v>
      </c>
      <c r="H13" s="2">
        <v>30591</v>
      </c>
      <c r="I13" s="2">
        <v>0</v>
      </c>
      <c r="J13" s="3">
        <f t="shared" si="0"/>
        <v>87698</v>
      </c>
      <c r="K13" s="3">
        <f t="shared" si="1"/>
        <v>221228</v>
      </c>
      <c r="M13" s="2"/>
    </row>
    <row r="14" spans="1:13" x14ac:dyDescent="0.25">
      <c r="A14" s="3">
        <v>5</v>
      </c>
      <c r="B14" s="3" t="s">
        <v>13</v>
      </c>
      <c r="C14" s="2">
        <v>2045</v>
      </c>
      <c r="D14" s="2">
        <v>15029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3">
        <f t="shared" si="0"/>
        <v>17074</v>
      </c>
      <c r="K14" s="3">
        <f t="shared" si="1"/>
        <v>238302</v>
      </c>
    </row>
    <row r="15" spans="1:13" x14ac:dyDescent="0.25">
      <c r="A15" s="3">
        <v>6</v>
      </c>
      <c r="B15" s="3" t="s">
        <v>14</v>
      </c>
      <c r="C15" s="2">
        <v>0</v>
      </c>
      <c r="D15" s="2">
        <v>14828</v>
      </c>
      <c r="E15" s="2">
        <v>0</v>
      </c>
      <c r="F15" s="2">
        <v>18920</v>
      </c>
      <c r="G15" s="2">
        <v>4681</v>
      </c>
      <c r="H15" s="2">
        <v>1831</v>
      </c>
      <c r="I15" s="2">
        <v>0</v>
      </c>
      <c r="J15" s="3">
        <f t="shared" si="0"/>
        <v>40260</v>
      </c>
      <c r="K15" s="3">
        <f t="shared" si="1"/>
        <v>278562</v>
      </c>
    </row>
    <row r="16" spans="1:13" x14ac:dyDescent="0.25">
      <c r="A16" s="3">
        <v>7</v>
      </c>
      <c r="B16" s="3" t="s">
        <v>15</v>
      </c>
      <c r="C16" s="2">
        <v>6000</v>
      </c>
      <c r="D16" s="2">
        <v>0</v>
      </c>
      <c r="E16" s="2">
        <v>5000</v>
      </c>
      <c r="F16" s="2">
        <v>28678</v>
      </c>
      <c r="G16" s="2">
        <v>24410</v>
      </c>
      <c r="H16" s="2">
        <v>8168</v>
      </c>
      <c r="I16" s="2">
        <v>0</v>
      </c>
      <c r="J16" s="3">
        <f t="shared" si="0"/>
        <v>72256</v>
      </c>
      <c r="K16" s="3">
        <f t="shared" si="1"/>
        <v>350818</v>
      </c>
    </row>
    <row r="17" spans="1:11" x14ac:dyDescent="0.25">
      <c r="A17" s="3">
        <v>8</v>
      </c>
      <c r="B17" s="3" t="s">
        <v>16</v>
      </c>
      <c r="C17" s="2">
        <v>3622</v>
      </c>
      <c r="D17" s="2">
        <v>0</v>
      </c>
      <c r="E17" s="2">
        <v>10182</v>
      </c>
      <c r="F17" s="2">
        <v>5185</v>
      </c>
      <c r="G17" s="2">
        <v>5908</v>
      </c>
      <c r="H17" s="2">
        <v>26801</v>
      </c>
      <c r="I17" s="2">
        <v>0</v>
      </c>
      <c r="J17" s="3">
        <f t="shared" si="0"/>
        <v>51698</v>
      </c>
      <c r="K17" s="3">
        <f t="shared" si="1"/>
        <v>402516</v>
      </c>
    </row>
    <row r="18" spans="1:11" x14ac:dyDescent="0.25">
      <c r="A18" s="3" t="s">
        <v>2</v>
      </c>
      <c r="B18" s="3" t="s">
        <v>17</v>
      </c>
      <c r="C18" s="3">
        <f t="shared" ref="C18:I18" si="2">SUM(C10:C17)</f>
        <v>64389</v>
      </c>
      <c r="D18" s="3">
        <f t="shared" si="2"/>
        <v>29857</v>
      </c>
      <c r="E18" s="3">
        <f t="shared" si="2"/>
        <v>45466</v>
      </c>
      <c r="F18" s="3">
        <f t="shared" si="2"/>
        <v>108070</v>
      </c>
      <c r="G18" s="3">
        <f t="shared" si="2"/>
        <v>34999</v>
      </c>
      <c r="H18" s="3">
        <f t="shared" si="2"/>
        <v>86491</v>
      </c>
      <c r="I18" s="3">
        <f t="shared" si="2"/>
        <v>33244</v>
      </c>
      <c r="J18" s="3">
        <f>SUM(J10:J17)</f>
        <v>402516</v>
      </c>
      <c r="K18" s="3"/>
    </row>
  </sheetData>
  <mergeCells count="3">
    <mergeCell ref="A6:K6"/>
    <mergeCell ref="A7:K7"/>
    <mergeCell ref="A8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I18"/>
  <sheetViews>
    <sheetView workbookViewId="0">
      <selection activeCell="B38" sqref="B38"/>
    </sheetView>
  </sheetViews>
  <sheetFormatPr defaultRowHeight="15" x14ac:dyDescent="0.25"/>
  <cols>
    <col min="1" max="1" width="10" customWidth="1"/>
    <col min="2" max="2" width="26" customWidth="1"/>
    <col min="3" max="3" width="10" customWidth="1"/>
    <col min="4" max="4" width="12.7109375" customWidth="1"/>
    <col min="5" max="5" width="10" customWidth="1"/>
    <col min="6" max="6" width="11.140625" customWidth="1"/>
    <col min="7" max="7" width="23.5703125" customWidth="1"/>
    <col min="8" max="8" width="16.28515625" bestFit="1" customWidth="1"/>
    <col min="9" max="9" width="21.7109375" bestFit="1" customWidth="1"/>
  </cols>
  <sheetData>
    <row r="6" spans="1:9" ht="15.75" x14ac:dyDescent="0.25">
      <c r="A6" s="6" t="s">
        <v>27</v>
      </c>
      <c r="B6" s="7"/>
      <c r="C6" s="7"/>
      <c r="D6" s="7"/>
      <c r="E6" s="7"/>
      <c r="F6" s="7"/>
      <c r="G6" s="7"/>
      <c r="H6" s="7"/>
      <c r="I6" s="8"/>
    </row>
    <row r="7" spans="1:9" ht="15.75" x14ac:dyDescent="0.25">
      <c r="A7" s="6" t="s">
        <v>28</v>
      </c>
      <c r="B7" s="7"/>
      <c r="C7" s="7"/>
      <c r="D7" s="7"/>
      <c r="E7" s="7"/>
      <c r="F7" s="7"/>
      <c r="G7" s="7"/>
      <c r="H7" s="7"/>
      <c r="I7" s="8"/>
    </row>
    <row r="8" spans="1:9" x14ac:dyDescent="0.25">
      <c r="A8" s="9" t="s">
        <v>2</v>
      </c>
      <c r="B8" s="10"/>
      <c r="C8" s="10"/>
      <c r="D8" s="10"/>
      <c r="E8" s="10"/>
      <c r="F8" s="10"/>
      <c r="G8" s="10"/>
      <c r="H8" s="10"/>
      <c r="I8" s="11"/>
    </row>
    <row r="9" spans="1:9" x14ac:dyDescent="0.25">
      <c r="A9" s="1"/>
      <c r="B9" s="1" t="s">
        <v>3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  <c r="H9" s="4" t="s">
        <v>40</v>
      </c>
      <c r="I9" s="4" t="s">
        <v>41</v>
      </c>
    </row>
    <row r="10" spans="1:9" x14ac:dyDescent="0.25">
      <c r="A10" s="3">
        <v>1</v>
      </c>
      <c r="B10" s="3" t="s">
        <v>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f t="shared" ref="H10:H17" si="0">SUM(C10:G10)</f>
        <v>0</v>
      </c>
      <c r="I10" s="3">
        <f>H10</f>
        <v>0</v>
      </c>
    </row>
    <row r="11" spans="1:9" x14ac:dyDescent="0.25">
      <c r="A11" s="3">
        <v>2</v>
      </c>
      <c r="B11" s="3" t="s">
        <v>10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3">
        <f t="shared" si="0"/>
        <v>0</v>
      </c>
      <c r="I11" s="3">
        <f t="shared" ref="I11:I17" si="1">H11+I10</f>
        <v>0</v>
      </c>
    </row>
    <row r="12" spans="1:9" x14ac:dyDescent="0.25">
      <c r="A12" s="3">
        <v>3</v>
      </c>
      <c r="B12" s="3" t="s">
        <v>11</v>
      </c>
      <c r="C12" s="2">
        <v>0</v>
      </c>
      <c r="D12" s="2">
        <v>8250</v>
      </c>
      <c r="E12" s="2">
        <v>0</v>
      </c>
      <c r="F12" s="2">
        <v>0</v>
      </c>
      <c r="G12" s="2">
        <v>5000</v>
      </c>
      <c r="H12" s="3">
        <f t="shared" si="0"/>
        <v>13250</v>
      </c>
      <c r="I12" s="3">
        <f t="shared" si="1"/>
        <v>13250</v>
      </c>
    </row>
    <row r="13" spans="1:9" x14ac:dyDescent="0.25">
      <c r="A13" s="3">
        <v>4</v>
      </c>
      <c r="B13" s="3" t="s">
        <v>12</v>
      </c>
      <c r="C13" s="2">
        <v>0</v>
      </c>
      <c r="D13" s="2">
        <v>16510</v>
      </c>
      <c r="E13" s="2">
        <v>0</v>
      </c>
      <c r="F13" s="2">
        <v>0</v>
      </c>
      <c r="G13" s="2">
        <v>0</v>
      </c>
      <c r="H13" s="3">
        <f t="shared" si="0"/>
        <v>16510</v>
      </c>
      <c r="I13" s="3">
        <f t="shared" si="1"/>
        <v>29760</v>
      </c>
    </row>
    <row r="14" spans="1:9" x14ac:dyDescent="0.25">
      <c r="A14" s="3">
        <v>5</v>
      </c>
      <c r="B14" s="3" t="s">
        <v>13</v>
      </c>
      <c r="C14" s="2">
        <v>3000</v>
      </c>
      <c r="D14" s="2">
        <v>0</v>
      </c>
      <c r="E14" s="2">
        <v>0</v>
      </c>
      <c r="F14" s="2">
        <v>0</v>
      </c>
      <c r="G14" s="2">
        <v>0</v>
      </c>
      <c r="H14" s="3">
        <f t="shared" si="0"/>
        <v>3000</v>
      </c>
      <c r="I14" s="3">
        <f t="shared" si="1"/>
        <v>32760</v>
      </c>
    </row>
    <row r="15" spans="1:9" x14ac:dyDescent="0.25">
      <c r="A15" s="3">
        <v>6</v>
      </c>
      <c r="B15" s="3" t="s">
        <v>14</v>
      </c>
      <c r="C15" s="2">
        <v>0</v>
      </c>
      <c r="D15" s="2">
        <v>0</v>
      </c>
      <c r="E15" s="2">
        <v>2000</v>
      </c>
      <c r="F15" s="2">
        <v>13114</v>
      </c>
      <c r="G15" s="2">
        <v>0</v>
      </c>
      <c r="H15" s="3">
        <f t="shared" si="0"/>
        <v>15114</v>
      </c>
      <c r="I15" s="3">
        <f t="shared" si="1"/>
        <v>47874</v>
      </c>
    </row>
    <row r="16" spans="1:9" x14ac:dyDescent="0.25">
      <c r="A16" s="3">
        <v>7</v>
      </c>
      <c r="B16" s="3" t="s">
        <v>15</v>
      </c>
      <c r="C16" s="2">
        <v>0</v>
      </c>
      <c r="D16" s="2">
        <v>3960</v>
      </c>
      <c r="E16" s="2">
        <v>0</v>
      </c>
      <c r="F16" s="2">
        <v>2586</v>
      </c>
      <c r="G16" s="2">
        <v>0</v>
      </c>
      <c r="H16" s="3">
        <f t="shared" si="0"/>
        <v>6546</v>
      </c>
      <c r="I16" s="3">
        <f t="shared" si="1"/>
        <v>54420</v>
      </c>
    </row>
    <row r="17" spans="1:9" x14ac:dyDescent="0.25">
      <c r="A17" s="3">
        <v>8</v>
      </c>
      <c r="B17" s="3" t="s">
        <v>16</v>
      </c>
      <c r="C17" s="2">
        <v>0</v>
      </c>
      <c r="D17" s="2">
        <v>9040</v>
      </c>
      <c r="E17" s="2">
        <v>0</v>
      </c>
      <c r="F17" s="2">
        <v>0</v>
      </c>
      <c r="G17" s="2">
        <v>0</v>
      </c>
      <c r="H17" s="3">
        <f t="shared" si="0"/>
        <v>9040</v>
      </c>
      <c r="I17" s="3">
        <f t="shared" si="1"/>
        <v>63460</v>
      </c>
    </row>
    <row r="18" spans="1:9" x14ac:dyDescent="0.25">
      <c r="A18" s="3" t="s">
        <v>2</v>
      </c>
      <c r="B18" s="3" t="s">
        <v>17</v>
      </c>
      <c r="C18" s="3">
        <f t="shared" ref="C18:G18" si="2">SUM(C10:C17)</f>
        <v>3000</v>
      </c>
      <c r="D18" s="3">
        <f t="shared" si="2"/>
        <v>37760</v>
      </c>
      <c r="E18" s="3">
        <f t="shared" si="2"/>
        <v>2000</v>
      </c>
      <c r="F18" s="3">
        <f t="shared" si="2"/>
        <v>15700</v>
      </c>
      <c r="G18" s="3">
        <f t="shared" si="2"/>
        <v>5000</v>
      </c>
      <c r="H18" s="3">
        <f>SUM(H10:H17)</f>
        <v>63460</v>
      </c>
      <c r="I18" s="3"/>
    </row>
  </sheetData>
  <mergeCells count="3">
    <mergeCell ref="A6:I6"/>
    <mergeCell ref="A7:I7"/>
    <mergeCell ref="A8:I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H18"/>
  <sheetViews>
    <sheetView workbookViewId="0">
      <selection activeCell="H30" sqref="H30"/>
    </sheetView>
  </sheetViews>
  <sheetFormatPr defaultRowHeight="15" x14ac:dyDescent="0.25"/>
  <cols>
    <col min="1" max="1" width="10" customWidth="1"/>
    <col min="2" max="2" width="26" customWidth="1"/>
    <col min="3" max="3" width="12.7109375" customWidth="1"/>
    <col min="4" max="4" width="25.28515625" customWidth="1"/>
    <col min="5" max="5" width="10.85546875" customWidth="1"/>
    <col min="6" max="6" width="10" customWidth="1"/>
    <col min="7" max="7" width="16.28515625" bestFit="1" customWidth="1"/>
    <col min="8" max="8" width="21.7109375" bestFit="1" customWidth="1"/>
  </cols>
  <sheetData>
    <row r="6" spans="1:8" ht="15.75" x14ac:dyDescent="0.25">
      <c r="A6" s="6" t="s">
        <v>29</v>
      </c>
      <c r="B6" s="7"/>
      <c r="C6" s="7"/>
      <c r="D6" s="7"/>
      <c r="E6" s="7"/>
      <c r="F6" s="7"/>
      <c r="G6" s="7"/>
      <c r="H6" s="8"/>
    </row>
    <row r="7" spans="1:8" ht="15.75" x14ac:dyDescent="0.25">
      <c r="A7" s="6" t="s">
        <v>30</v>
      </c>
      <c r="B7" s="7"/>
      <c r="C7" s="7"/>
      <c r="D7" s="7"/>
      <c r="E7" s="7"/>
      <c r="F7" s="7"/>
      <c r="G7" s="7"/>
      <c r="H7" s="8"/>
    </row>
    <row r="8" spans="1:8" x14ac:dyDescent="0.25">
      <c r="A8" s="9" t="s">
        <v>2</v>
      </c>
      <c r="B8" s="10"/>
      <c r="C8" s="10"/>
      <c r="D8" s="10"/>
      <c r="E8" s="10"/>
      <c r="F8" s="10"/>
      <c r="G8" s="10"/>
      <c r="H8" s="11"/>
    </row>
    <row r="9" spans="1:8" x14ac:dyDescent="0.25">
      <c r="A9" s="1"/>
      <c r="B9" s="1" t="s">
        <v>3</v>
      </c>
      <c r="C9" s="1" t="s">
        <v>4</v>
      </c>
      <c r="D9" s="1" t="s">
        <v>31</v>
      </c>
      <c r="E9" s="1" t="s">
        <v>5</v>
      </c>
      <c r="F9" s="1" t="s">
        <v>7</v>
      </c>
      <c r="G9" s="4" t="s">
        <v>40</v>
      </c>
      <c r="H9" s="4" t="s">
        <v>41</v>
      </c>
    </row>
    <row r="10" spans="1:8" x14ac:dyDescent="0.25">
      <c r="A10" s="3">
        <v>1</v>
      </c>
      <c r="B10" s="3" t="s">
        <v>9</v>
      </c>
      <c r="C10" s="2">
        <v>141</v>
      </c>
      <c r="D10" s="2">
        <v>540</v>
      </c>
      <c r="E10" s="2">
        <v>454</v>
      </c>
      <c r="F10" s="2">
        <v>0</v>
      </c>
      <c r="G10" s="3">
        <f t="shared" ref="G10:G17" si="0">SUM(C10:F10)</f>
        <v>1135</v>
      </c>
      <c r="H10" s="3">
        <f>G10</f>
        <v>1135</v>
      </c>
    </row>
    <row r="11" spans="1:8" x14ac:dyDescent="0.25">
      <c r="A11" s="3">
        <v>2</v>
      </c>
      <c r="B11" s="3" t="s">
        <v>10</v>
      </c>
      <c r="C11" s="2">
        <v>1143</v>
      </c>
      <c r="D11" s="2">
        <v>936</v>
      </c>
      <c r="E11" s="2">
        <v>947</v>
      </c>
      <c r="F11" s="2">
        <v>1940</v>
      </c>
      <c r="G11" s="3">
        <f t="shared" si="0"/>
        <v>4966</v>
      </c>
      <c r="H11" s="3">
        <f t="shared" ref="H11:H17" si="1">G11+H10</f>
        <v>6101</v>
      </c>
    </row>
    <row r="12" spans="1:8" x14ac:dyDescent="0.25">
      <c r="A12" s="3">
        <v>3</v>
      </c>
      <c r="B12" s="3" t="s">
        <v>11</v>
      </c>
      <c r="C12" s="2">
        <v>123</v>
      </c>
      <c r="D12" s="2">
        <v>576</v>
      </c>
      <c r="E12" s="2">
        <v>775</v>
      </c>
      <c r="F12" s="2">
        <v>1108</v>
      </c>
      <c r="G12" s="3">
        <f t="shared" si="0"/>
        <v>2582</v>
      </c>
      <c r="H12" s="3">
        <f t="shared" si="1"/>
        <v>8683</v>
      </c>
    </row>
    <row r="13" spans="1:8" x14ac:dyDescent="0.25">
      <c r="A13" s="3">
        <v>4</v>
      </c>
      <c r="B13" s="3" t="s">
        <v>12</v>
      </c>
      <c r="C13" s="2">
        <v>897</v>
      </c>
      <c r="D13" s="2">
        <v>1473</v>
      </c>
      <c r="E13" s="2">
        <v>3101</v>
      </c>
      <c r="F13" s="2">
        <v>553</v>
      </c>
      <c r="G13" s="3">
        <f t="shared" si="0"/>
        <v>6024</v>
      </c>
      <c r="H13" s="3">
        <f t="shared" si="1"/>
        <v>14707</v>
      </c>
    </row>
    <row r="14" spans="1:8" x14ac:dyDescent="0.25">
      <c r="A14" s="3">
        <v>5</v>
      </c>
      <c r="B14" s="3" t="s">
        <v>13</v>
      </c>
      <c r="C14" s="2">
        <v>2323</v>
      </c>
      <c r="D14" s="2">
        <v>1512</v>
      </c>
      <c r="E14" s="2">
        <v>2432</v>
      </c>
      <c r="F14" s="2">
        <v>757</v>
      </c>
      <c r="G14" s="3">
        <f t="shared" si="0"/>
        <v>7024</v>
      </c>
      <c r="H14" s="3">
        <f t="shared" si="1"/>
        <v>21731</v>
      </c>
    </row>
    <row r="15" spans="1:8" x14ac:dyDescent="0.25">
      <c r="A15" s="3">
        <v>6</v>
      </c>
      <c r="B15" s="3" t="s">
        <v>14</v>
      </c>
      <c r="C15" s="2">
        <v>2633</v>
      </c>
      <c r="D15" s="2">
        <v>180</v>
      </c>
      <c r="E15" s="2">
        <v>1535</v>
      </c>
      <c r="F15" s="2">
        <v>203</v>
      </c>
      <c r="G15" s="3">
        <f t="shared" si="0"/>
        <v>4551</v>
      </c>
      <c r="H15" s="3">
        <f t="shared" si="1"/>
        <v>26282</v>
      </c>
    </row>
    <row r="16" spans="1:8" x14ac:dyDescent="0.25">
      <c r="A16" s="3">
        <v>7</v>
      </c>
      <c r="B16" s="3" t="s">
        <v>15</v>
      </c>
      <c r="C16" s="2">
        <v>2921</v>
      </c>
      <c r="D16" s="2">
        <v>2707</v>
      </c>
      <c r="E16" s="2">
        <v>1999</v>
      </c>
      <c r="F16" s="2">
        <v>0</v>
      </c>
      <c r="G16" s="3">
        <f t="shared" si="0"/>
        <v>7627</v>
      </c>
      <c r="H16" s="3">
        <f t="shared" si="1"/>
        <v>33909</v>
      </c>
    </row>
    <row r="17" spans="1:8" x14ac:dyDescent="0.25">
      <c r="A17" s="3">
        <v>8</v>
      </c>
      <c r="B17" s="3" t="s">
        <v>16</v>
      </c>
      <c r="C17" s="2">
        <v>3354</v>
      </c>
      <c r="D17" s="2">
        <v>650</v>
      </c>
      <c r="E17" s="2">
        <v>3040</v>
      </c>
      <c r="F17" s="2">
        <v>0</v>
      </c>
      <c r="G17" s="3">
        <f t="shared" si="0"/>
        <v>7044</v>
      </c>
      <c r="H17" s="3">
        <f t="shared" si="1"/>
        <v>40953</v>
      </c>
    </row>
    <row r="18" spans="1:8" x14ac:dyDescent="0.25">
      <c r="A18" s="3" t="s">
        <v>2</v>
      </c>
      <c r="B18" s="3" t="s">
        <v>17</v>
      </c>
      <c r="C18" s="3">
        <f>SUM(C10:C17)</f>
        <v>13535</v>
      </c>
      <c r="D18" s="3">
        <f>SUM(D10:D17)</f>
        <v>8574</v>
      </c>
      <c r="E18" s="3">
        <f>SUM(E10:E17)</f>
        <v>14283</v>
      </c>
      <c r="F18" s="3">
        <f>SUM(F10:F17)</f>
        <v>4561</v>
      </c>
      <c r="G18" s="3">
        <f>SUM(G10:G17)</f>
        <v>40953</v>
      </c>
      <c r="H18" s="3"/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H21"/>
  <sheetViews>
    <sheetView workbookViewId="0">
      <selection activeCell="C29" sqref="C29"/>
    </sheetView>
  </sheetViews>
  <sheetFormatPr defaultRowHeight="15" x14ac:dyDescent="0.25"/>
  <cols>
    <col min="1" max="1" width="10" customWidth="1"/>
    <col min="2" max="2" width="26" customWidth="1"/>
    <col min="3" max="3" width="11" customWidth="1"/>
    <col min="4" max="4" width="10" customWidth="1"/>
    <col min="5" max="5" width="12.140625" customWidth="1"/>
    <col min="6" max="6" width="13.42578125" customWidth="1"/>
    <col min="7" max="7" width="17.28515625" bestFit="1" customWidth="1"/>
    <col min="8" max="8" width="22.7109375" bestFit="1" customWidth="1"/>
  </cols>
  <sheetData>
    <row r="6" spans="1:8" ht="15.75" x14ac:dyDescent="0.25">
      <c r="A6" s="6" t="s">
        <v>32</v>
      </c>
      <c r="B6" s="7"/>
      <c r="C6" s="7"/>
      <c r="D6" s="7"/>
      <c r="E6" s="7"/>
      <c r="F6" s="7"/>
      <c r="G6" s="7"/>
      <c r="H6" s="8"/>
    </row>
    <row r="7" spans="1:8" ht="15.75" x14ac:dyDescent="0.25">
      <c r="A7" s="6" t="s">
        <v>33</v>
      </c>
      <c r="B7" s="7"/>
      <c r="C7" s="7"/>
      <c r="D7" s="7"/>
      <c r="E7" s="7"/>
      <c r="F7" s="7"/>
      <c r="G7" s="7"/>
      <c r="H7" s="8"/>
    </row>
    <row r="8" spans="1:8" x14ac:dyDescent="0.25">
      <c r="A8" s="9" t="s">
        <v>2</v>
      </c>
      <c r="B8" s="10"/>
      <c r="C8" s="10"/>
      <c r="D8" s="10"/>
      <c r="E8" s="10"/>
      <c r="F8" s="10"/>
      <c r="G8" s="10"/>
      <c r="H8" s="11"/>
    </row>
    <row r="9" spans="1:8" x14ac:dyDescent="0.25">
      <c r="A9" s="1"/>
      <c r="B9" s="1" t="s">
        <v>3</v>
      </c>
      <c r="C9" s="1" t="s">
        <v>34</v>
      </c>
      <c r="D9" s="1" t="s">
        <v>35</v>
      </c>
      <c r="E9" s="1" t="s">
        <v>36</v>
      </c>
      <c r="F9" s="1" t="s">
        <v>37</v>
      </c>
      <c r="G9" s="4" t="s">
        <v>42</v>
      </c>
      <c r="H9" s="4" t="s">
        <v>43</v>
      </c>
    </row>
    <row r="10" spans="1:8" x14ac:dyDescent="0.25">
      <c r="A10" s="3">
        <v>1</v>
      </c>
      <c r="B10" s="3" t="s">
        <v>9</v>
      </c>
      <c r="C10" s="2">
        <v>8800</v>
      </c>
      <c r="D10" s="2">
        <v>930</v>
      </c>
      <c r="E10" s="2">
        <v>0</v>
      </c>
      <c r="F10" s="2">
        <v>0</v>
      </c>
      <c r="G10" s="3">
        <f t="shared" ref="G10:G17" si="0">SUM(C10:F10)</f>
        <v>9730</v>
      </c>
      <c r="H10" s="3">
        <f>G10</f>
        <v>9730</v>
      </c>
    </row>
    <row r="11" spans="1:8" x14ac:dyDescent="0.25">
      <c r="A11" s="3">
        <v>2</v>
      </c>
      <c r="B11" s="3" t="s">
        <v>10</v>
      </c>
      <c r="C11" s="2">
        <v>0</v>
      </c>
      <c r="D11" s="2">
        <v>72395</v>
      </c>
      <c r="E11" s="2">
        <v>0</v>
      </c>
      <c r="F11" s="2">
        <v>0</v>
      </c>
      <c r="G11" s="3">
        <f t="shared" si="0"/>
        <v>72395</v>
      </c>
      <c r="H11" s="3">
        <f t="shared" ref="H11:H17" si="1">G11+H10</f>
        <v>82125</v>
      </c>
    </row>
    <row r="12" spans="1:8" x14ac:dyDescent="0.25">
      <c r="A12" s="3">
        <v>3</v>
      </c>
      <c r="B12" s="3" t="s">
        <v>11</v>
      </c>
      <c r="C12" s="2">
        <v>0</v>
      </c>
      <c r="D12" s="2">
        <v>64655</v>
      </c>
      <c r="E12" s="2">
        <v>0</v>
      </c>
      <c r="F12" s="2">
        <v>0</v>
      </c>
      <c r="G12" s="3">
        <f t="shared" si="0"/>
        <v>64655</v>
      </c>
      <c r="H12" s="3">
        <f t="shared" si="1"/>
        <v>146780</v>
      </c>
    </row>
    <row r="13" spans="1:8" x14ac:dyDescent="0.25">
      <c r="A13" s="3">
        <v>4</v>
      </c>
      <c r="B13" s="3" t="s">
        <v>12</v>
      </c>
      <c r="C13" s="2">
        <v>0</v>
      </c>
      <c r="D13" s="2">
        <v>104208</v>
      </c>
      <c r="E13" s="2">
        <v>0</v>
      </c>
      <c r="F13" s="2">
        <v>0</v>
      </c>
      <c r="G13" s="3">
        <f t="shared" si="0"/>
        <v>104208</v>
      </c>
      <c r="H13" s="3">
        <f t="shared" si="1"/>
        <v>250988</v>
      </c>
    </row>
    <row r="14" spans="1:8" x14ac:dyDescent="0.25">
      <c r="A14" s="3">
        <v>5</v>
      </c>
      <c r="B14" s="3" t="s">
        <v>13</v>
      </c>
      <c r="C14" s="2">
        <v>0</v>
      </c>
      <c r="D14" s="2">
        <v>20074</v>
      </c>
      <c r="E14" s="2">
        <v>0</v>
      </c>
      <c r="F14" s="2">
        <v>0</v>
      </c>
      <c r="G14" s="3">
        <f t="shared" si="0"/>
        <v>20074</v>
      </c>
      <c r="H14" s="3">
        <f t="shared" si="1"/>
        <v>271062</v>
      </c>
    </row>
    <row r="15" spans="1:8" x14ac:dyDescent="0.25">
      <c r="A15" s="3">
        <v>6</v>
      </c>
      <c r="B15" s="3" t="s">
        <v>14</v>
      </c>
      <c r="C15" s="2">
        <v>1831</v>
      </c>
      <c r="D15" s="2">
        <v>53543</v>
      </c>
      <c r="E15" s="2">
        <v>0</v>
      </c>
      <c r="F15" s="2">
        <v>0</v>
      </c>
      <c r="G15" s="3">
        <f t="shared" si="0"/>
        <v>55374</v>
      </c>
      <c r="H15" s="3">
        <f t="shared" si="1"/>
        <v>326436</v>
      </c>
    </row>
    <row r="16" spans="1:8" x14ac:dyDescent="0.25">
      <c r="A16" s="3">
        <v>7</v>
      </c>
      <c r="B16" s="3" t="s">
        <v>15</v>
      </c>
      <c r="C16" s="2">
        <v>14168</v>
      </c>
      <c r="D16" s="2">
        <v>59856</v>
      </c>
      <c r="E16" s="2">
        <v>0</v>
      </c>
      <c r="F16" s="2">
        <v>4778</v>
      </c>
      <c r="G16" s="3">
        <f t="shared" si="0"/>
        <v>78802</v>
      </c>
      <c r="H16" s="3">
        <f t="shared" si="1"/>
        <v>405238</v>
      </c>
    </row>
    <row r="17" spans="1:8" x14ac:dyDescent="0.25">
      <c r="A17" s="3">
        <v>8</v>
      </c>
      <c r="B17" s="3" t="s">
        <v>16</v>
      </c>
      <c r="C17" s="2">
        <v>0</v>
      </c>
      <c r="D17" s="2">
        <v>49645</v>
      </c>
      <c r="E17" s="2">
        <v>5908</v>
      </c>
      <c r="F17" s="2">
        <v>5185</v>
      </c>
      <c r="G17" s="3">
        <f t="shared" si="0"/>
        <v>60738</v>
      </c>
      <c r="H17" s="3">
        <f t="shared" si="1"/>
        <v>465976</v>
      </c>
    </row>
    <row r="18" spans="1:8" x14ac:dyDescent="0.25">
      <c r="A18" s="3" t="s">
        <v>2</v>
      </c>
      <c r="B18" s="5" t="s">
        <v>44</v>
      </c>
      <c r="C18" s="3">
        <f>SUM(C10:C17)</f>
        <v>24799</v>
      </c>
      <c r="D18" s="3">
        <f>SUM(D10:D17)</f>
        <v>425306</v>
      </c>
      <c r="E18" s="3">
        <f>SUM(E10:E17)</f>
        <v>5908</v>
      </c>
      <c r="F18" s="3">
        <f>SUM(F10:F17)</f>
        <v>9963</v>
      </c>
      <c r="G18" s="3">
        <f>SUM(G10:G17)</f>
        <v>465976</v>
      </c>
      <c r="H18" s="3"/>
    </row>
    <row r="20" spans="1:8" x14ac:dyDescent="0.25">
      <c r="A20" t="s">
        <v>45</v>
      </c>
    </row>
    <row r="21" spans="1:8" x14ac:dyDescent="0.25">
      <c r="A21" t="s">
        <v>46</v>
      </c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H18"/>
  <sheetViews>
    <sheetView workbookViewId="0">
      <selection activeCell="D26" sqref="D26"/>
    </sheetView>
  </sheetViews>
  <sheetFormatPr defaultRowHeight="15" x14ac:dyDescent="0.25"/>
  <cols>
    <col min="1" max="1" width="10" customWidth="1"/>
    <col min="2" max="2" width="26" customWidth="1"/>
    <col min="3" max="3" width="11" customWidth="1"/>
    <col min="4" max="4" width="10" customWidth="1"/>
    <col min="5" max="5" width="12.140625" customWidth="1"/>
    <col min="6" max="6" width="13.42578125" customWidth="1"/>
    <col min="7" max="7" width="16.28515625" bestFit="1" customWidth="1"/>
    <col min="8" max="8" width="21.7109375" bestFit="1" customWidth="1"/>
  </cols>
  <sheetData>
    <row r="6" spans="1:8" ht="15.75" x14ac:dyDescent="0.25">
      <c r="A6" s="6" t="s">
        <v>38</v>
      </c>
      <c r="B6" s="7"/>
      <c r="C6" s="7"/>
      <c r="D6" s="7"/>
      <c r="E6" s="7"/>
      <c r="F6" s="7"/>
      <c r="G6" s="7"/>
      <c r="H6" s="8"/>
    </row>
    <row r="7" spans="1:8" ht="15.75" x14ac:dyDescent="0.25">
      <c r="A7" s="6" t="s">
        <v>39</v>
      </c>
      <c r="B7" s="7"/>
      <c r="C7" s="7"/>
      <c r="D7" s="7"/>
      <c r="E7" s="7"/>
      <c r="F7" s="7"/>
      <c r="G7" s="7"/>
      <c r="H7" s="8"/>
    </row>
    <row r="8" spans="1:8" x14ac:dyDescent="0.25">
      <c r="A8" s="9" t="s">
        <v>2</v>
      </c>
      <c r="B8" s="10"/>
      <c r="C8" s="10"/>
      <c r="D8" s="10"/>
      <c r="E8" s="10"/>
      <c r="F8" s="10"/>
      <c r="G8" s="10"/>
      <c r="H8" s="11"/>
    </row>
    <row r="9" spans="1:8" x14ac:dyDescent="0.25">
      <c r="A9" s="1"/>
      <c r="B9" s="1" t="s">
        <v>3</v>
      </c>
      <c r="C9" s="1" t="s">
        <v>34</v>
      </c>
      <c r="D9" s="1" t="s">
        <v>35</v>
      </c>
      <c r="E9" s="1" t="s">
        <v>36</v>
      </c>
      <c r="F9" s="1" t="s">
        <v>37</v>
      </c>
      <c r="G9" s="4" t="s">
        <v>40</v>
      </c>
      <c r="H9" s="4" t="s">
        <v>41</v>
      </c>
    </row>
    <row r="10" spans="1:8" x14ac:dyDescent="0.25">
      <c r="A10" s="3">
        <v>1</v>
      </c>
      <c r="B10" s="3" t="s">
        <v>9</v>
      </c>
      <c r="C10" s="2">
        <v>0</v>
      </c>
      <c r="D10" s="2">
        <v>0</v>
      </c>
      <c r="E10" s="2">
        <v>0</v>
      </c>
      <c r="F10" s="2">
        <v>0</v>
      </c>
      <c r="G10" s="3">
        <f t="shared" ref="G10:G17" si="0">SUM(C10:F10)</f>
        <v>0</v>
      </c>
      <c r="H10" s="3">
        <f>G10</f>
        <v>0</v>
      </c>
    </row>
    <row r="11" spans="1:8" x14ac:dyDescent="0.25">
      <c r="A11" s="3">
        <v>2</v>
      </c>
      <c r="B11" s="3" t="s">
        <v>10</v>
      </c>
      <c r="C11" s="2">
        <v>0</v>
      </c>
      <c r="D11" s="2">
        <v>0</v>
      </c>
      <c r="E11" s="2">
        <v>0</v>
      </c>
      <c r="F11" s="2">
        <v>0</v>
      </c>
      <c r="G11" s="3">
        <f t="shared" si="0"/>
        <v>0</v>
      </c>
      <c r="H11" s="3">
        <f t="shared" ref="H11:H17" si="1">G11+H10</f>
        <v>0</v>
      </c>
    </row>
    <row r="12" spans="1:8" x14ac:dyDescent="0.25">
      <c r="A12" s="3">
        <v>3</v>
      </c>
      <c r="B12" s="3" t="s">
        <v>11</v>
      </c>
      <c r="C12" s="2">
        <v>0</v>
      </c>
      <c r="D12" s="2">
        <v>0</v>
      </c>
      <c r="E12" s="2">
        <v>0</v>
      </c>
      <c r="F12" s="2">
        <v>0</v>
      </c>
      <c r="G12" s="3">
        <f t="shared" si="0"/>
        <v>0</v>
      </c>
      <c r="H12" s="3">
        <f t="shared" si="1"/>
        <v>0</v>
      </c>
    </row>
    <row r="13" spans="1:8" x14ac:dyDescent="0.25">
      <c r="A13" s="3">
        <v>4</v>
      </c>
      <c r="B13" s="3" t="s">
        <v>12</v>
      </c>
      <c r="C13" s="2">
        <v>0</v>
      </c>
      <c r="D13" s="2">
        <v>0</v>
      </c>
      <c r="E13" s="2">
        <v>0</v>
      </c>
      <c r="F13" s="2">
        <v>0</v>
      </c>
      <c r="G13" s="3">
        <f t="shared" si="0"/>
        <v>0</v>
      </c>
      <c r="H13" s="3">
        <f t="shared" si="1"/>
        <v>0</v>
      </c>
    </row>
    <row r="14" spans="1:8" x14ac:dyDescent="0.25">
      <c r="A14" s="3">
        <v>5</v>
      </c>
      <c r="B14" s="3" t="s">
        <v>13</v>
      </c>
      <c r="C14" s="2">
        <v>0</v>
      </c>
      <c r="D14" s="2">
        <v>0</v>
      </c>
      <c r="E14" s="2">
        <v>0</v>
      </c>
      <c r="F14" s="2">
        <v>0</v>
      </c>
      <c r="G14" s="3">
        <f t="shared" si="0"/>
        <v>0</v>
      </c>
      <c r="H14" s="3">
        <f t="shared" si="1"/>
        <v>0</v>
      </c>
    </row>
    <row r="15" spans="1:8" x14ac:dyDescent="0.25">
      <c r="A15" s="3">
        <v>6</v>
      </c>
      <c r="B15" s="3" t="s">
        <v>14</v>
      </c>
      <c r="C15" s="2">
        <v>0</v>
      </c>
      <c r="D15" s="2">
        <v>0</v>
      </c>
      <c r="E15" s="2">
        <v>0</v>
      </c>
      <c r="F15" s="2">
        <v>0</v>
      </c>
      <c r="G15" s="3">
        <f t="shared" si="0"/>
        <v>0</v>
      </c>
      <c r="H15" s="3">
        <f t="shared" si="1"/>
        <v>0</v>
      </c>
    </row>
    <row r="16" spans="1:8" x14ac:dyDescent="0.25">
      <c r="A16" s="3">
        <v>7</v>
      </c>
      <c r="B16" s="3" t="s">
        <v>15</v>
      </c>
      <c r="C16" s="2">
        <v>0</v>
      </c>
      <c r="D16" s="2">
        <v>0</v>
      </c>
      <c r="E16" s="2">
        <v>0</v>
      </c>
      <c r="F16" s="2">
        <v>0</v>
      </c>
      <c r="G16" s="3">
        <f t="shared" si="0"/>
        <v>0</v>
      </c>
      <c r="H16" s="3">
        <f t="shared" si="1"/>
        <v>0</v>
      </c>
    </row>
    <row r="17" spans="1:8" x14ac:dyDescent="0.25">
      <c r="A17" s="3">
        <v>8</v>
      </c>
      <c r="B17" s="3" t="s">
        <v>16</v>
      </c>
      <c r="C17" s="2">
        <v>0</v>
      </c>
      <c r="D17" s="2">
        <v>0</v>
      </c>
      <c r="E17" s="2">
        <v>0</v>
      </c>
      <c r="F17" s="2">
        <v>0</v>
      </c>
      <c r="G17" s="3">
        <f t="shared" si="0"/>
        <v>0</v>
      </c>
      <c r="H17" s="3">
        <f t="shared" si="1"/>
        <v>0</v>
      </c>
    </row>
    <row r="18" spans="1:8" x14ac:dyDescent="0.25">
      <c r="A18" s="3" t="s">
        <v>2</v>
      </c>
      <c r="B18" s="3" t="s">
        <v>17</v>
      </c>
      <c r="C18" s="3">
        <f>SUM(C10:C17)</f>
        <v>0</v>
      </c>
      <c r="D18" s="3">
        <f>SUM(D10:D17)</f>
        <v>0</v>
      </c>
      <c r="E18" s="3">
        <f>SUM(E10:E17)</f>
        <v>0</v>
      </c>
      <c r="F18" s="3">
        <f>SUM(F10:F17)</f>
        <v>0</v>
      </c>
      <c r="G18" s="3">
        <f>SUM(G10:G17)</f>
        <v>0</v>
      </c>
      <c r="H18" s="3"/>
    </row>
  </sheetData>
  <mergeCells count="3">
    <mergeCell ref="A6:H6"/>
    <mergeCell ref="A7:H7"/>
    <mergeCell ref="A8:H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D1A4D0-FBEF-407F-8355-DBB7BB9186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58B553-7543-45EB-B7B0-6CFA0FB40E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4ae0e-3af2-48f1-b2fd-da4a302e5eb8"/>
    <ds:schemaRef ds:uri="ae149517-eeaa-465d-b3b6-396a1e23b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957FDF-2A9F-484A-A566-722A4173B817}">
  <ds:schemaRefs>
    <ds:schemaRef ds:uri="http://schemas.microsoft.com/office/2006/metadata/properties"/>
    <ds:schemaRef ds:uri="http://schemas.microsoft.com/office/infopath/2007/PartnerControls"/>
    <ds:schemaRef ds:uri="ae149517-eeaa-465d-b3b6-396a1e23bc6e"/>
    <ds:schemaRef ds:uri="3fe4ae0e-3af2-48f1-b2fd-da4a302e5e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RSA EXPORTS</vt:lpstr>
      <vt:lpstr>IMPORTS FOR RSA</vt:lpstr>
      <vt:lpstr>IMPORTS FOR OTHER COUNTRIES</vt:lpstr>
      <vt:lpstr>EXPORTS OF IMPORTED WHEAT</vt:lpstr>
      <vt:lpstr>IMPORTS PER HARBOUR</vt:lpstr>
      <vt:lpstr>EXPORT PER HARBOUR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 Willemse</dc:creator>
  <cp:lastModifiedBy>Myburgh Swiegers</cp:lastModifiedBy>
  <dcterms:created xsi:type="dcterms:W3CDTF">2025-11-27T15:10:36Z</dcterms:created>
  <dcterms:modified xsi:type="dcterms:W3CDTF">2026-06-08T11:15:04Z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  <property fmtid="{D5CDD505-2E9C-101B-9397-08002B2CF9AE}" pid="3" name="MediaServiceImageTags">
    <vt:lpwstr/>
  </property>
</Properties>
</file>