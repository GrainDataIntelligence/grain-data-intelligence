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S:\Info\In- en uitvoere Weeklikse Koring\Publikasiestate\2023-2024 Season\"/>
    </mc:Choice>
  </mc:AlternateContent>
  <xr:revisionPtr revIDLastSave="0" documentId="8_{F3CF4120-67C4-49F8-8311-E654D382186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SA EXPORTS" sheetId="1" r:id="rId1"/>
    <sheet name="IMPORTS FOR RSA" sheetId="2" r:id="rId2"/>
    <sheet name="IMPORTS FOR OTHER COUNTRIES" sheetId="3" r:id="rId3"/>
    <sheet name="EXPORTS OF IMPORTED WHEAT" sheetId="4" r:id="rId4"/>
    <sheet name="IMPORTS PER HARBOUR" sheetId="5" r:id="rId5"/>
    <sheet name="EXPORT PER HARBOU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2" i="6" l="1"/>
  <c r="E62" i="6"/>
  <c r="D62" i="6"/>
  <c r="C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H12" i="6" s="1"/>
  <c r="H11" i="6"/>
  <c r="G11" i="6"/>
  <c r="H10" i="6"/>
  <c r="G10" i="6"/>
  <c r="G62" i="6" s="1"/>
  <c r="F62" i="5"/>
  <c r="E62" i="5"/>
  <c r="D62" i="5"/>
  <c r="C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H10" i="5" s="1"/>
  <c r="G62" i="4"/>
  <c r="F62" i="4"/>
  <c r="E62" i="4"/>
  <c r="D62" i="4"/>
  <c r="C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I62" i="3"/>
  <c r="H62" i="3"/>
  <c r="G62" i="3"/>
  <c r="F62" i="3"/>
  <c r="E62" i="3"/>
  <c r="D62" i="3"/>
  <c r="C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62" i="3" s="1"/>
  <c r="K10" i="3"/>
  <c r="J10" i="3"/>
  <c r="K62" i="2"/>
  <c r="J62" i="2"/>
  <c r="I62" i="2"/>
  <c r="H62" i="2"/>
  <c r="G62" i="2"/>
  <c r="F62" i="2"/>
  <c r="E62" i="2"/>
  <c r="D62" i="2"/>
  <c r="C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M10" i="2" s="1"/>
  <c r="M11" i="2" s="1"/>
  <c r="H62" i="1"/>
  <c r="G62" i="1"/>
  <c r="F62" i="1"/>
  <c r="E62" i="1"/>
  <c r="D62" i="1"/>
  <c r="C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62" i="1" s="1"/>
  <c r="H62" i="4" l="1"/>
  <c r="K11" i="3"/>
  <c r="K12" i="3" s="1"/>
  <c r="J10" i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M12" i="2"/>
  <c r="L62" i="2"/>
  <c r="K13" i="3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K38" i="3" s="1"/>
  <c r="K39" i="3" s="1"/>
  <c r="K40" i="3" s="1"/>
  <c r="K41" i="3" s="1"/>
  <c r="K42" i="3" s="1"/>
  <c r="K43" i="3" s="1"/>
  <c r="K44" i="3" s="1"/>
  <c r="K45" i="3" s="1"/>
  <c r="K46" i="3" s="1"/>
  <c r="K47" i="3" s="1"/>
  <c r="K48" i="3" s="1"/>
  <c r="K49" i="3" s="1"/>
  <c r="K50" i="3" s="1"/>
  <c r="K51" i="3" s="1"/>
  <c r="K52" i="3" s="1"/>
  <c r="K53" i="3" s="1"/>
  <c r="K54" i="3" s="1"/>
  <c r="K55" i="3" s="1"/>
  <c r="K56" i="3" s="1"/>
  <c r="K57" i="3" s="1"/>
  <c r="K58" i="3" s="1"/>
  <c r="K59" i="3" s="1"/>
  <c r="K60" i="3" s="1"/>
  <c r="K61" i="3" s="1"/>
  <c r="H11" i="5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H38" i="5" s="1"/>
  <c r="H39" i="5" s="1"/>
  <c r="H40" i="5" s="1"/>
  <c r="H41" i="5" s="1"/>
  <c r="H42" i="5" s="1"/>
  <c r="H43" i="5" s="1"/>
  <c r="H44" i="5" s="1"/>
  <c r="H45" i="5" s="1"/>
  <c r="H46" i="5" s="1"/>
  <c r="H47" i="5" s="1"/>
  <c r="H48" i="5" s="1"/>
  <c r="H49" i="5" s="1"/>
  <c r="H50" i="5" s="1"/>
  <c r="H51" i="5" s="1"/>
  <c r="H52" i="5" s="1"/>
  <c r="H53" i="5" s="1"/>
  <c r="H54" i="5" s="1"/>
  <c r="H55" i="5" s="1"/>
  <c r="H56" i="5" s="1"/>
  <c r="H57" i="5" s="1"/>
  <c r="H58" i="5" s="1"/>
  <c r="H59" i="5" s="1"/>
  <c r="H60" i="5" s="1"/>
  <c r="H61" i="5" s="1"/>
  <c r="H13" i="6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H38" i="6" s="1"/>
  <c r="H39" i="6" s="1"/>
  <c r="H40" i="6" s="1"/>
  <c r="H41" i="6" s="1"/>
  <c r="H42" i="6" s="1"/>
  <c r="H43" i="6" s="1"/>
  <c r="H44" i="6" s="1"/>
  <c r="H45" i="6" s="1"/>
  <c r="H46" i="6" s="1"/>
  <c r="H47" i="6" s="1"/>
  <c r="H48" i="6" s="1"/>
  <c r="H49" i="6" s="1"/>
  <c r="H50" i="6" s="1"/>
  <c r="H51" i="6" s="1"/>
  <c r="H52" i="6" s="1"/>
  <c r="H53" i="6" s="1"/>
  <c r="H54" i="6" s="1"/>
  <c r="H55" i="6" s="1"/>
  <c r="H56" i="6" s="1"/>
  <c r="H57" i="6" s="1"/>
  <c r="H58" i="6" s="1"/>
  <c r="H59" i="6" s="1"/>
  <c r="H60" i="6" s="1"/>
  <c r="H61" i="6" s="1"/>
  <c r="M13" i="2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M42" i="2" s="1"/>
  <c r="M43" i="2" s="1"/>
  <c r="M44" i="2" s="1"/>
  <c r="M45" i="2" s="1"/>
  <c r="M46" i="2" s="1"/>
  <c r="M47" i="2" s="1"/>
  <c r="M48" i="2" s="1"/>
  <c r="M49" i="2" s="1"/>
  <c r="M50" i="2" s="1"/>
  <c r="M51" i="2" s="1"/>
  <c r="M52" i="2" s="1"/>
  <c r="M53" i="2" s="1"/>
  <c r="M54" i="2" s="1"/>
  <c r="M55" i="2" s="1"/>
  <c r="M56" i="2" s="1"/>
  <c r="M57" i="2" s="1"/>
  <c r="M58" i="2" s="1"/>
  <c r="M59" i="2" s="1"/>
  <c r="M60" i="2" s="1"/>
  <c r="M61" i="2" s="1"/>
  <c r="I10" i="4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I59" i="4" s="1"/>
  <c r="I60" i="4" s="1"/>
  <c r="I61" i="4" s="1"/>
  <c r="G62" i="5"/>
</calcChain>
</file>

<file path=xl/sharedStrings.xml><?xml version="1.0" encoding="utf-8"?>
<sst xmlns="http://schemas.openxmlformats.org/spreadsheetml/2006/main" count="397" uniqueCount="93">
  <si>
    <t>WHEAT: RSA EXPORTS - 2023/24 SEASON</t>
  </si>
  <si>
    <t>KORING: RSA UITVOERE - 2023/24 SEISOEN</t>
  </si>
  <si>
    <t/>
  </si>
  <si>
    <t>Week</t>
  </si>
  <si>
    <t>BOTSWANA</t>
  </si>
  <si>
    <t xml:space="preserve">CONGO </t>
  </si>
  <si>
    <t>LESOTHO</t>
  </si>
  <si>
    <t>NAMIBIA</t>
  </si>
  <si>
    <t>ZAMBIA</t>
  </si>
  <si>
    <t>ZIMBABWE</t>
  </si>
  <si>
    <t>30 Sep - 06 Oct/Okt 2023</t>
  </si>
  <si>
    <t>07 Oct/Okt - 13 Oct/Okt 2023</t>
  </si>
  <si>
    <t>14 Oct/Okt - 20 Oct/Okt 2023</t>
  </si>
  <si>
    <t>21 Oct/Okt - 27 Oct/Okt 2023</t>
  </si>
  <si>
    <t>28 Oct/Okt - 03 Nov 2023</t>
  </si>
  <si>
    <t>04 Nov - 10 Nov 2023</t>
  </si>
  <si>
    <t>11 Nov - 17 Nov 2023</t>
  </si>
  <si>
    <t>18 Nov - 24 Nov 2023</t>
  </si>
  <si>
    <t>25 Nov - 01 Dec/Des 2023</t>
  </si>
  <si>
    <t>02 Dec/Des - 08 Dec/Des 2023</t>
  </si>
  <si>
    <t>09 Dec/Des - 15 Dec/Des 2023</t>
  </si>
  <si>
    <t>16 Dec/Des - 22 Dec/Des 2023</t>
  </si>
  <si>
    <t>23 Dec/Des - 29 Dec/Des 2023</t>
  </si>
  <si>
    <t>30 Dec/Des - 05 Jan 2024</t>
  </si>
  <si>
    <t>06 Jan - 12 Jan 2024</t>
  </si>
  <si>
    <t>13 Jan - 19 Jan 2024</t>
  </si>
  <si>
    <t>20 Jan - 26 Jan 2024</t>
  </si>
  <si>
    <t>27 Jan - 02 Feb 2024</t>
  </si>
  <si>
    <t>03 Feb - 09 Feb 2024</t>
  </si>
  <si>
    <t>10 Feb - 16 Feb 2024</t>
  </si>
  <si>
    <t>17 Feb - 23 Feb 2024</t>
  </si>
  <si>
    <t>24 Feb - 01 Mar 2024</t>
  </si>
  <si>
    <t>02 Mar - 08 Mar 2024</t>
  </si>
  <si>
    <t>09 Mar - 15 Mar 2024</t>
  </si>
  <si>
    <t>16 Mar - 22 Mar 2024</t>
  </si>
  <si>
    <t>23 Mar - 29 Mar 2024</t>
  </si>
  <si>
    <t>30 Mar - 05 Apr 2024</t>
  </si>
  <si>
    <t>06 Apr - 12 Apr 2024</t>
  </si>
  <si>
    <t>13 Apr - 19 Apr 2024</t>
  </si>
  <si>
    <t>20 Apr - 26 Apr 2024</t>
  </si>
  <si>
    <t>27 Apr - 03 May/Mei 2024</t>
  </si>
  <si>
    <t>04 May/Mei - 10 May/Mei 2024</t>
  </si>
  <si>
    <t>11 May/Mei - 17 May/Mei 2024</t>
  </si>
  <si>
    <t>18 May/Mei - 24 May/Mei 2024</t>
  </si>
  <si>
    <t>25 May/Mei - 31 May/Mei 2024</t>
  </si>
  <si>
    <t>01 Jun - 07 Jun 2024</t>
  </si>
  <si>
    <t>08 Jun - 14 Jun 2024</t>
  </si>
  <si>
    <t>15 Jun - 21 Jun 2024</t>
  </si>
  <si>
    <t>22 Jun - 28 Jun 2024</t>
  </si>
  <si>
    <t>29 Jun - 05 Jul 2024</t>
  </si>
  <si>
    <t>06 Jul - 12 Jul 2024</t>
  </si>
  <si>
    <t>13 Jul - 19 Jul 2024</t>
  </si>
  <si>
    <t>20 Jul - 26 Jul 2024</t>
  </si>
  <si>
    <t>27 Jul - 02 Aug 2024</t>
  </si>
  <si>
    <t>03 Aug - 09 Aug 2024</t>
  </si>
  <si>
    <t>10 Aug - 16 Aug 2024</t>
  </si>
  <si>
    <t>17 Aug - 23 Aug 2024</t>
  </si>
  <si>
    <t>24 Aug - 30 Aug 2024</t>
  </si>
  <si>
    <t>31 Aug - 06 Sep 2024</t>
  </si>
  <si>
    <t>07 Sep - 13 Sep 2024</t>
  </si>
  <si>
    <t>14 Sep - 20 Sep 2024</t>
  </si>
  <si>
    <t>21 Sep - 27 Sep 2024</t>
  </si>
  <si>
    <t>Total</t>
  </si>
  <si>
    <t>WHEAT: WEEKLY IMPORTS FOR RSA - 2023/24 SEASON</t>
  </si>
  <si>
    <t>KORING: WEEKLIKSE INVOERE VIR RSA - 2023/24 SEISOEN</t>
  </si>
  <si>
    <t>ARGENTINA</t>
  </si>
  <si>
    <t>AUSTRALIA</t>
  </si>
  <si>
    <t>CANADA</t>
  </si>
  <si>
    <t>ESTONIA</t>
  </si>
  <si>
    <t>LATVIA</t>
  </si>
  <si>
    <t>LITHUANIA</t>
  </si>
  <si>
    <t>POLAND</t>
  </si>
  <si>
    <t>RUSSIAN FEDERATION</t>
  </si>
  <si>
    <t>UNITED STATES</t>
  </si>
  <si>
    <t>WHEAT: WEEKLY IMPORTS FOR OTHER COUNTRIES - 2023/24 SEASON</t>
  </si>
  <si>
    <t>KORING: WEEKLIKSE INVOERE VIR ANDER LANDE - 2023/24 SEISOEN</t>
  </si>
  <si>
    <t>WHEAT: EXPORTS OF IMPORTED WHEAT - 2023/24 SEASON</t>
  </si>
  <si>
    <t>KORING: UITVOERE VAN INGEVOERDE KORING - 2023/24 SEISOEN</t>
  </si>
  <si>
    <t>ESWATINI (SWAZILAND)</t>
  </si>
  <si>
    <t>WHEAT: WEEKLY IMPORT PER HARBOUR - 2023/24 SEASON</t>
  </si>
  <si>
    <t>KORING: WEEKLIKSE INVOER PER HAWE - 2023/24 SEISOEN</t>
  </si>
  <si>
    <t>Cape Town</t>
  </si>
  <si>
    <t>Durban</t>
  </si>
  <si>
    <t>East London</t>
  </si>
  <si>
    <t>Port Elizabeth</t>
  </si>
  <si>
    <t>WHEAT: WEEKLY EXPORT PER HARBOUR - 2023/24 SEASON</t>
  </si>
  <si>
    <t>KORING: WEEKLIKSE UITVOER PER HAWE - 2023/24 SEISOEN</t>
  </si>
  <si>
    <t>Week Total/Totaal</t>
  </si>
  <si>
    <t>Progressive Total/Totaal</t>
  </si>
  <si>
    <t>*Week Total/Totaal</t>
  </si>
  <si>
    <t>*Progressive Total/Totaal</t>
  </si>
  <si>
    <t xml:space="preserve">* Includes: Imports for RSA and other Countries </t>
  </si>
  <si>
    <t xml:space="preserve">* Sluit in: Invoere vir RSA en ander lande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</si>
</sst>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2"/>
      <color rgb="FF000000"/>
      <name val="Times New Roman"/>
    </font>
    <font>
      <b/>
      <sz val="10"/>
      <color rgb="FF000000"/>
      <name val="Times New Roman"/>
    </font>
    <font>
      <sz val="10"/>
      <color rgb="FF000000"/>
      <name val="Times New Roman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4" xfId="0" applyFont="1" applyBorder="1" applyAlignment="1">
      <alignment horizontal="center"/>
    </xf>
    <xf numFmtId="3" fontId="3" fillId="0" borderId="4" xfId="0" applyNumberFormat="1" applyFont="1" applyBorder="1" applyAlignment="1">
      <alignment horizontal="right"/>
    </xf>
    <xf numFmtId="3" fontId="2" fillId="0" borderId="4" xfId="0" applyNumberFormat="1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7</xdr:col>
      <xdr:colOff>91440</xdr:colOff>
      <xdr:row>4</xdr:row>
      <xdr:rowOff>20955</xdr:rowOff>
    </xdr:to>
    <xdr:pic>
      <xdr:nvPicPr>
        <xdr:cNvPr id="2" name="LogoRSA EXPORT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6</xdr:col>
      <xdr:colOff>628650</xdr:colOff>
      <xdr:row>4</xdr:row>
      <xdr:rowOff>20955</xdr:rowOff>
    </xdr:to>
    <xdr:pic>
      <xdr:nvPicPr>
        <xdr:cNvPr id="2" name="LogoIMPORTS FOR RSA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6</xdr:col>
      <xdr:colOff>628650</xdr:colOff>
      <xdr:row>4</xdr:row>
      <xdr:rowOff>20955</xdr:rowOff>
    </xdr:to>
    <xdr:pic>
      <xdr:nvPicPr>
        <xdr:cNvPr id="2" name="LogoIMPORTS FOR OTHER COUNTRIES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5</xdr:col>
      <xdr:colOff>438150</xdr:colOff>
      <xdr:row>4</xdr:row>
      <xdr:rowOff>20955</xdr:rowOff>
    </xdr:to>
    <xdr:pic>
      <xdr:nvPicPr>
        <xdr:cNvPr id="3" name="LogoEXPORTS OF IMPORTED WHEA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6</xdr:col>
      <xdr:colOff>588645</xdr:colOff>
      <xdr:row>4</xdr:row>
      <xdr:rowOff>17145</xdr:rowOff>
    </xdr:to>
    <xdr:pic>
      <xdr:nvPicPr>
        <xdr:cNvPr id="4" name="LogoIMPORTS PER HARBOUR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6</xdr:col>
      <xdr:colOff>592455</xdr:colOff>
      <xdr:row>4</xdr:row>
      <xdr:rowOff>20955</xdr:rowOff>
    </xdr:to>
    <xdr:pic>
      <xdr:nvPicPr>
        <xdr:cNvPr id="5" name="LogoEXPORT PER HARBOUR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J62"/>
  <sheetViews>
    <sheetView tabSelected="1" workbookViewId="0">
      <pane xSplit="2" ySplit="9" topLeftCell="C52" activePane="bottomRight" state="frozen"/>
      <selection pane="topRight" activeCell="C1" sqref="C1"/>
      <selection pane="bottomLeft" activeCell="A10" sqref="A10"/>
      <selection pane="bottomRight" activeCell="J62" sqref="J62"/>
    </sheetView>
  </sheetViews>
  <sheetFormatPr defaultRowHeight="14.4" x14ac:dyDescent="0.3"/>
  <cols>
    <col min="1" max="1" width="10" customWidth="1"/>
    <col min="2" max="2" width="27.5546875" customWidth="1"/>
    <col min="3" max="3" width="12.77734375" customWidth="1"/>
    <col min="4" max="4" width="10" customWidth="1"/>
    <col min="5" max="5" width="10.88671875" customWidth="1"/>
    <col min="6" max="6" width="10.33203125" customWidth="1"/>
    <col min="7" max="7" width="10" customWidth="1"/>
    <col min="8" max="8" width="12.5546875" customWidth="1"/>
    <col min="9" max="9" width="16.21875" bestFit="1" customWidth="1"/>
    <col min="10" max="10" width="21.77734375" bestFit="1" customWidth="1"/>
  </cols>
  <sheetData>
    <row r="6" spans="1:10" ht="15.6" x14ac:dyDescent="0.3">
      <c r="A6" s="4" t="s">
        <v>0</v>
      </c>
      <c r="B6" s="5"/>
      <c r="C6" s="5"/>
      <c r="D6" s="5"/>
      <c r="E6" s="5"/>
      <c r="F6" s="5"/>
      <c r="G6" s="5"/>
      <c r="H6" s="5"/>
      <c r="I6" s="5"/>
      <c r="J6" s="6"/>
    </row>
    <row r="7" spans="1:10" ht="15.6" x14ac:dyDescent="0.3">
      <c r="A7" s="4" t="s">
        <v>1</v>
      </c>
      <c r="B7" s="5"/>
      <c r="C7" s="5"/>
      <c r="D7" s="5"/>
      <c r="E7" s="5"/>
      <c r="F7" s="5"/>
      <c r="G7" s="5"/>
      <c r="H7" s="5"/>
      <c r="I7" s="5"/>
      <c r="J7" s="6"/>
    </row>
    <row r="8" spans="1:10" x14ac:dyDescent="0.3">
      <c r="A8" s="7" t="s">
        <v>2</v>
      </c>
      <c r="B8" s="8"/>
      <c r="C8" s="8"/>
      <c r="D8" s="8"/>
      <c r="E8" s="8"/>
      <c r="F8" s="8"/>
      <c r="G8" s="8"/>
      <c r="H8" s="8"/>
      <c r="I8" s="8"/>
      <c r="J8" s="9"/>
    </row>
    <row r="9" spans="1:10" x14ac:dyDescent="0.3">
      <c r="A9" s="1"/>
      <c r="B9" s="1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1" t="s">
        <v>8</v>
      </c>
      <c r="H9" s="1" t="s">
        <v>9</v>
      </c>
      <c r="I9" s="10" t="s">
        <v>87</v>
      </c>
      <c r="J9" s="10" t="s">
        <v>88</v>
      </c>
    </row>
    <row r="10" spans="1:10" x14ac:dyDescent="0.3">
      <c r="A10" s="3">
        <v>1</v>
      </c>
      <c r="B10" s="3" t="s">
        <v>10</v>
      </c>
      <c r="C10" s="2">
        <v>0</v>
      </c>
      <c r="D10" s="2">
        <v>0</v>
      </c>
      <c r="E10" s="2">
        <v>144</v>
      </c>
      <c r="F10" s="2">
        <v>557</v>
      </c>
      <c r="G10" s="2">
        <v>0</v>
      </c>
      <c r="H10" s="2">
        <v>89</v>
      </c>
      <c r="I10" s="3">
        <f>SUM(C10:H10)</f>
        <v>790</v>
      </c>
      <c r="J10" s="3">
        <f>I10</f>
        <v>790</v>
      </c>
    </row>
    <row r="11" spans="1:10" x14ac:dyDescent="0.3">
      <c r="A11" s="3">
        <v>2</v>
      </c>
      <c r="B11" s="3" t="s">
        <v>11</v>
      </c>
      <c r="C11" s="2">
        <v>0</v>
      </c>
      <c r="D11" s="2">
        <v>0</v>
      </c>
      <c r="E11" s="2">
        <v>0</v>
      </c>
      <c r="F11" s="2">
        <v>253</v>
      </c>
      <c r="G11" s="2">
        <v>0</v>
      </c>
      <c r="H11" s="2">
        <v>750</v>
      </c>
      <c r="I11" s="3">
        <f>SUM(C11:H11)</f>
        <v>1003</v>
      </c>
      <c r="J11" s="3">
        <f t="shared" ref="J11:J42" si="0">I11+J10</f>
        <v>1793</v>
      </c>
    </row>
    <row r="12" spans="1:10" x14ac:dyDescent="0.3">
      <c r="A12" s="3">
        <v>3</v>
      </c>
      <c r="B12" s="3" t="s">
        <v>12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715</v>
      </c>
      <c r="I12" s="3">
        <f>SUM(C12:H12)</f>
        <v>715</v>
      </c>
      <c r="J12" s="3">
        <f t="shared" si="0"/>
        <v>2508</v>
      </c>
    </row>
    <row r="13" spans="1:10" x14ac:dyDescent="0.3">
      <c r="A13" s="3">
        <v>4</v>
      </c>
      <c r="B13" s="3" t="s">
        <v>13</v>
      </c>
      <c r="C13" s="2">
        <v>0</v>
      </c>
      <c r="D13" s="2">
        <v>0</v>
      </c>
      <c r="E13" s="2">
        <v>34</v>
      </c>
      <c r="F13" s="2">
        <v>255</v>
      </c>
      <c r="G13" s="2">
        <v>0</v>
      </c>
      <c r="H13" s="2">
        <v>1538</v>
      </c>
      <c r="I13" s="3">
        <f>SUM(C13:H13)</f>
        <v>1827</v>
      </c>
      <c r="J13" s="3">
        <f t="shared" si="0"/>
        <v>4335</v>
      </c>
    </row>
    <row r="14" spans="1:10" x14ac:dyDescent="0.3">
      <c r="A14" s="3">
        <v>5</v>
      </c>
      <c r="B14" s="3" t="s">
        <v>14</v>
      </c>
      <c r="C14" s="2">
        <v>412</v>
      </c>
      <c r="D14" s="2">
        <v>0</v>
      </c>
      <c r="E14" s="2">
        <v>0</v>
      </c>
      <c r="F14" s="2">
        <v>146</v>
      </c>
      <c r="G14" s="2">
        <v>0</v>
      </c>
      <c r="H14" s="2">
        <v>2609</v>
      </c>
      <c r="I14" s="3">
        <f>SUM(C14:H14)</f>
        <v>3167</v>
      </c>
      <c r="J14" s="3">
        <f t="shared" si="0"/>
        <v>7502</v>
      </c>
    </row>
    <row r="15" spans="1:10" x14ac:dyDescent="0.3">
      <c r="A15" s="3">
        <v>6</v>
      </c>
      <c r="B15" s="3" t="s">
        <v>15</v>
      </c>
      <c r="C15" s="2">
        <v>140</v>
      </c>
      <c r="D15" s="2">
        <v>0</v>
      </c>
      <c r="E15" s="2">
        <v>286</v>
      </c>
      <c r="F15" s="2">
        <v>0</v>
      </c>
      <c r="G15" s="2">
        <v>0</v>
      </c>
      <c r="H15" s="2">
        <v>1682</v>
      </c>
      <c r="I15" s="3">
        <f>SUM(C15:H15)</f>
        <v>2108</v>
      </c>
      <c r="J15" s="3">
        <f t="shared" si="0"/>
        <v>9610</v>
      </c>
    </row>
    <row r="16" spans="1:10" x14ac:dyDescent="0.3">
      <c r="A16" s="3">
        <v>7</v>
      </c>
      <c r="B16" s="3" t="s">
        <v>16</v>
      </c>
      <c r="C16" s="2">
        <v>203</v>
      </c>
      <c r="D16" s="2">
        <v>0</v>
      </c>
      <c r="E16" s="2">
        <v>0</v>
      </c>
      <c r="F16" s="2">
        <v>291</v>
      </c>
      <c r="G16" s="2">
        <v>0</v>
      </c>
      <c r="H16" s="2">
        <v>2888</v>
      </c>
      <c r="I16" s="3">
        <f>SUM(C16:H16)</f>
        <v>3382</v>
      </c>
      <c r="J16" s="3">
        <f t="shared" si="0"/>
        <v>12992</v>
      </c>
    </row>
    <row r="17" spans="1:10" x14ac:dyDescent="0.3">
      <c r="A17" s="3">
        <v>8</v>
      </c>
      <c r="B17" s="3" t="s">
        <v>17</v>
      </c>
      <c r="C17" s="2">
        <v>69</v>
      </c>
      <c r="D17" s="2">
        <v>0</v>
      </c>
      <c r="E17" s="2">
        <v>0</v>
      </c>
      <c r="F17" s="2">
        <v>0</v>
      </c>
      <c r="G17" s="2">
        <v>0</v>
      </c>
      <c r="H17" s="2">
        <v>2132</v>
      </c>
      <c r="I17" s="3">
        <f>SUM(C17:H17)</f>
        <v>2201</v>
      </c>
      <c r="J17" s="3">
        <f t="shared" si="0"/>
        <v>15193</v>
      </c>
    </row>
    <row r="18" spans="1:10" x14ac:dyDescent="0.3">
      <c r="A18" s="3">
        <v>9</v>
      </c>
      <c r="B18" s="3" t="s">
        <v>18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1200</v>
      </c>
      <c r="I18" s="3">
        <f>SUM(C18:H18)</f>
        <v>1200</v>
      </c>
      <c r="J18" s="3">
        <f t="shared" si="0"/>
        <v>16393</v>
      </c>
    </row>
    <row r="19" spans="1:10" x14ac:dyDescent="0.3">
      <c r="A19" s="3">
        <v>10</v>
      </c>
      <c r="B19" s="3" t="s">
        <v>19</v>
      </c>
      <c r="C19" s="2">
        <v>522</v>
      </c>
      <c r="D19" s="2">
        <v>0</v>
      </c>
      <c r="E19" s="2">
        <v>1599</v>
      </c>
      <c r="F19" s="2">
        <v>107</v>
      </c>
      <c r="G19" s="2">
        <v>0</v>
      </c>
      <c r="H19" s="2">
        <v>1720</v>
      </c>
      <c r="I19" s="3">
        <f>SUM(C19:H19)</f>
        <v>3948</v>
      </c>
      <c r="J19" s="3">
        <f t="shared" si="0"/>
        <v>20341</v>
      </c>
    </row>
    <row r="20" spans="1:10" x14ac:dyDescent="0.3">
      <c r="A20" s="3">
        <v>11</v>
      </c>
      <c r="B20" s="3" t="s">
        <v>20</v>
      </c>
      <c r="C20" s="2">
        <v>677</v>
      </c>
      <c r="D20" s="2">
        <v>0</v>
      </c>
      <c r="E20" s="2">
        <v>2327</v>
      </c>
      <c r="F20" s="2">
        <v>770</v>
      </c>
      <c r="G20" s="2">
        <v>0</v>
      </c>
      <c r="H20" s="2">
        <v>1060</v>
      </c>
      <c r="I20" s="3">
        <f>SUM(C20:H20)</f>
        <v>4834</v>
      </c>
      <c r="J20" s="3">
        <f t="shared" si="0"/>
        <v>25175</v>
      </c>
    </row>
    <row r="21" spans="1:10" x14ac:dyDescent="0.3">
      <c r="A21" s="3">
        <v>12</v>
      </c>
      <c r="B21" s="3" t="s">
        <v>21</v>
      </c>
      <c r="C21" s="2">
        <v>179</v>
      </c>
      <c r="D21" s="2">
        <v>0</v>
      </c>
      <c r="E21" s="2">
        <v>970</v>
      </c>
      <c r="F21" s="2">
        <v>109</v>
      </c>
      <c r="G21" s="2">
        <v>0</v>
      </c>
      <c r="H21" s="2">
        <v>2360</v>
      </c>
      <c r="I21" s="3">
        <f>SUM(C21:H21)</f>
        <v>3618</v>
      </c>
      <c r="J21" s="3">
        <f t="shared" si="0"/>
        <v>28793</v>
      </c>
    </row>
    <row r="22" spans="1:10" x14ac:dyDescent="0.3">
      <c r="A22" s="3">
        <v>13</v>
      </c>
      <c r="B22" s="3" t="s">
        <v>22</v>
      </c>
      <c r="C22" s="2">
        <v>35</v>
      </c>
      <c r="D22" s="2">
        <v>0</v>
      </c>
      <c r="E22" s="2">
        <v>214</v>
      </c>
      <c r="F22" s="2">
        <v>1482</v>
      </c>
      <c r="G22" s="2">
        <v>0</v>
      </c>
      <c r="H22" s="2">
        <v>648</v>
      </c>
      <c r="I22" s="3">
        <f>SUM(C22:H22)</f>
        <v>2379</v>
      </c>
      <c r="J22" s="3">
        <f t="shared" si="0"/>
        <v>31172</v>
      </c>
    </row>
    <row r="23" spans="1:10" x14ac:dyDescent="0.3">
      <c r="A23" s="3">
        <v>14</v>
      </c>
      <c r="B23" s="3" t="s">
        <v>23</v>
      </c>
      <c r="C23" s="2">
        <v>664</v>
      </c>
      <c r="D23" s="2">
        <v>0</v>
      </c>
      <c r="E23" s="2">
        <v>568</v>
      </c>
      <c r="F23" s="2">
        <v>0</v>
      </c>
      <c r="G23" s="2">
        <v>0</v>
      </c>
      <c r="H23" s="2">
        <v>1136</v>
      </c>
      <c r="I23" s="3">
        <f>SUM(C23:H23)</f>
        <v>2368</v>
      </c>
      <c r="J23" s="3">
        <f t="shared" si="0"/>
        <v>33540</v>
      </c>
    </row>
    <row r="24" spans="1:10" x14ac:dyDescent="0.3">
      <c r="A24" s="3">
        <v>15</v>
      </c>
      <c r="B24" s="3" t="s">
        <v>24</v>
      </c>
      <c r="C24" s="2">
        <v>1850</v>
      </c>
      <c r="D24" s="2">
        <v>0</v>
      </c>
      <c r="E24" s="2">
        <v>1492</v>
      </c>
      <c r="F24" s="2">
        <v>592</v>
      </c>
      <c r="G24" s="2">
        <v>0</v>
      </c>
      <c r="H24" s="2">
        <v>558</v>
      </c>
      <c r="I24" s="3">
        <f>SUM(C24:H24)</f>
        <v>4492</v>
      </c>
      <c r="J24" s="3">
        <f t="shared" si="0"/>
        <v>38032</v>
      </c>
    </row>
    <row r="25" spans="1:10" x14ac:dyDescent="0.3">
      <c r="A25" s="3">
        <v>16</v>
      </c>
      <c r="B25" s="3" t="s">
        <v>25</v>
      </c>
      <c r="C25" s="2">
        <v>3838</v>
      </c>
      <c r="D25" s="2">
        <v>0</v>
      </c>
      <c r="E25" s="2">
        <v>1857</v>
      </c>
      <c r="F25" s="2">
        <v>192</v>
      </c>
      <c r="G25" s="2">
        <v>0</v>
      </c>
      <c r="H25" s="2">
        <v>285</v>
      </c>
      <c r="I25" s="3">
        <f>SUM(C25:H25)</f>
        <v>6172</v>
      </c>
      <c r="J25" s="3">
        <f t="shared" si="0"/>
        <v>44204</v>
      </c>
    </row>
    <row r="26" spans="1:10" x14ac:dyDescent="0.3">
      <c r="A26" s="3">
        <v>17</v>
      </c>
      <c r="B26" s="3" t="s">
        <v>26</v>
      </c>
      <c r="C26" s="2">
        <v>3236</v>
      </c>
      <c r="D26" s="2">
        <v>0</v>
      </c>
      <c r="E26" s="2">
        <v>3541</v>
      </c>
      <c r="F26" s="2">
        <v>0</v>
      </c>
      <c r="G26" s="2">
        <v>0</v>
      </c>
      <c r="H26" s="2">
        <v>286</v>
      </c>
      <c r="I26" s="3">
        <f>SUM(C26:H26)</f>
        <v>7063</v>
      </c>
      <c r="J26" s="3">
        <f t="shared" si="0"/>
        <v>51267</v>
      </c>
    </row>
    <row r="27" spans="1:10" x14ac:dyDescent="0.3">
      <c r="A27" s="3">
        <v>18</v>
      </c>
      <c r="B27" s="3" t="s">
        <v>27</v>
      </c>
      <c r="C27" s="2">
        <v>2153</v>
      </c>
      <c r="D27" s="2">
        <v>0</v>
      </c>
      <c r="E27" s="2">
        <v>1497</v>
      </c>
      <c r="F27" s="2">
        <v>0</v>
      </c>
      <c r="G27" s="2">
        <v>0</v>
      </c>
      <c r="H27" s="2">
        <v>176</v>
      </c>
      <c r="I27" s="3">
        <f>SUM(C27:H27)</f>
        <v>3826</v>
      </c>
      <c r="J27" s="3">
        <f t="shared" si="0"/>
        <v>55093</v>
      </c>
    </row>
    <row r="28" spans="1:10" x14ac:dyDescent="0.3">
      <c r="A28" s="3">
        <v>19</v>
      </c>
      <c r="B28" s="3" t="s">
        <v>28</v>
      </c>
      <c r="C28" s="2">
        <v>1272</v>
      </c>
      <c r="D28" s="2">
        <v>0</v>
      </c>
      <c r="E28" s="2">
        <v>2779</v>
      </c>
      <c r="F28" s="2">
        <v>0</v>
      </c>
      <c r="G28" s="2">
        <v>0</v>
      </c>
      <c r="H28" s="2">
        <v>35</v>
      </c>
      <c r="I28" s="3">
        <f>SUM(C28:H28)</f>
        <v>4086</v>
      </c>
      <c r="J28" s="3">
        <f t="shared" si="0"/>
        <v>59179</v>
      </c>
    </row>
    <row r="29" spans="1:10" x14ac:dyDescent="0.3">
      <c r="A29" s="3">
        <v>20</v>
      </c>
      <c r="B29" s="3" t="s">
        <v>29</v>
      </c>
      <c r="C29" s="2">
        <v>1189</v>
      </c>
      <c r="D29" s="2">
        <v>0</v>
      </c>
      <c r="E29" s="2">
        <v>2165</v>
      </c>
      <c r="F29" s="2">
        <v>0</v>
      </c>
      <c r="G29" s="2">
        <v>880</v>
      </c>
      <c r="H29" s="2">
        <v>0</v>
      </c>
      <c r="I29" s="3">
        <f>SUM(C29:H29)</f>
        <v>4234</v>
      </c>
      <c r="J29" s="3">
        <f t="shared" si="0"/>
        <v>63413</v>
      </c>
    </row>
    <row r="30" spans="1:10" x14ac:dyDescent="0.3">
      <c r="A30" s="3">
        <v>21</v>
      </c>
      <c r="B30" s="3" t="s">
        <v>30</v>
      </c>
      <c r="C30" s="2">
        <v>1817</v>
      </c>
      <c r="D30" s="2">
        <v>0</v>
      </c>
      <c r="E30" s="2">
        <v>3553</v>
      </c>
      <c r="F30" s="2">
        <v>0</v>
      </c>
      <c r="G30" s="2">
        <v>0</v>
      </c>
      <c r="H30" s="2">
        <v>807</v>
      </c>
      <c r="I30" s="3">
        <f>SUM(C30:H30)</f>
        <v>6177</v>
      </c>
      <c r="J30" s="3">
        <f t="shared" si="0"/>
        <v>69590</v>
      </c>
    </row>
    <row r="31" spans="1:10" x14ac:dyDescent="0.3">
      <c r="A31" s="3">
        <v>22</v>
      </c>
      <c r="B31" s="3" t="s">
        <v>31</v>
      </c>
      <c r="C31" s="2">
        <v>1435</v>
      </c>
      <c r="D31" s="2">
        <v>0</v>
      </c>
      <c r="E31" s="2">
        <v>2645</v>
      </c>
      <c r="F31" s="2">
        <v>0</v>
      </c>
      <c r="G31" s="2">
        <v>0</v>
      </c>
      <c r="H31" s="2">
        <v>1049</v>
      </c>
      <c r="I31" s="3">
        <f>SUM(C31:H31)</f>
        <v>5129</v>
      </c>
      <c r="J31" s="3">
        <f t="shared" si="0"/>
        <v>74719</v>
      </c>
    </row>
    <row r="32" spans="1:10" x14ac:dyDescent="0.3">
      <c r="A32" s="3">
        <v>23</v>
      </c>
      <c r="B32" s="3" t="s">
        <v>32</v>
      </c>
      <c r="C32" s="2">
        <v>1536</v>
      </c>
      <c r="D32" s="2">
        <v>0</v>
      </c>
      <c r="E32" s="2">
        <v>2080</v>
      </c>
      <c r="F32" s="2">
        <v>0</v>
      </c>
      <c r="G32" s="2">
        <v>0</v>
      </c>
      <c r="H32" s="2">
        <v>2048</v>
      </c>
      <c r="I32" s="3">
        <f>SUM(C32:H32)</f>
        <v>5664</v>
      </c>
      <c r="J32" s="3">
        <f t="shared" si="0"/>
        <v>80383</v>
      </c>
    </row>
    <row r="33" spans="1:10" x14ac:dyDescent="0.3">
      <c r="A33" s="3">
        <v>24</v>
      </c>
      <c r="B33" s="3" t="s">
        <v>33</v>
      </c>
      <c r="C33" s="2">
        <v>1454</v>
      </c>
      <c r="D33" s="2">
        <v>0</v>
      </c>
      <c r="E33" s="2">
        <v>978</v>
      </c>
      <c r="F33" s="2">
        <v>0</v>
      </c>
      <c r="G33" s="2">
        <v>0</v>
      </c>
      <c r="H33" s="2">
        <v>1550</v>
      </c>
      <c r="I33" s="3">
        <f>SUM(C33:H33)</f>
        <v>3982</v>
      </c>
      <c r="J33" s="3">
        <f t="shared" si="0"/>
        <v>84365</v>
      </c>
    </row>
    <row r="34" spans="1:10" x14ac:dyDescent="0.3">
      <c r="A34" s="3">
        <v>25</v>
      </c>
      <c r="B34" s="3" t="s">
        <v>34</v>
      </c>
      <c r="C34" s="2">
        <v>1241</v>
      </c>
      <c r="D34" s="2">
        <v>0</v>
      </c>
      <c r="E34" s="2">
        <v>144</v>
      </c>
      <c r="F34" s="2">
        <v>0</v>
      </c>
      <c r="G34" s="2">
        <v>865</v>
      </c>
      <c r="H34" s="2">
        <v>614</v>
      </c>
      <c r="I34" s="3">
        <f>SUM(C34:H34)</f>
        <v>2864</v>
      </c>
      <c r="J34" s="3">
        <f t="shared" si="0"/>
        <v>87229</v>
      </c>
    </row>
    <row r="35" spans="1:10" x14ac:dyDescent="0.3">
      <c r="A35" s="3">
        <v>26</v>
      </c>
      <c r="B35" s="3" t="s">
        <v>35</v>
      </c>
      <c r="C35" s="2">
        <v>822</v>
      </c>
      <c r="D35" s="2">
        <v>0</v>
      </c>
      <c r="E35" s="2">
        <v>0</v>
      </c>
      <c r="F35" s="2">
        <v>147</v>
      </c>
      <c r="G35" s="2">
        <v>685</v>
      </c>
      <c r="H35" s="2">
        <v>766</v>
      </c>
      <c r="I35" s="3">
        <f>SUM(C35:H35)</f>
        <v>2420</v>
      </c>
      <c r="J35" s="3">
        <f t="shared" si="0"/>
        <v>89649</v>
      </c>
    </row>
    <row r="36" spans="1:10" x14ac:dyDescent="0.3">
      <c r="A36" s="3">
        <v>27</v>
      </c>
      <c r="B36" s="3" t="s">
        <v>36</v>
      </c>
      <c r="C36" s="2">
        <v>845</v>
      </c>
      <c r="D36" s="2">
        <v>0</v>
      </c>
      <c r="E36" s="2">
        <v>608</v>
      </c>
      <c r="F36" s="2">
        <v>147</v>
      </c>
      <c r="G36" s="2">
        <v>802</v>
      </c>
      <c r="H36" s="2">
        <v>1050</v>
      </c>
      <c r="I36" s="3">
        <f>SUM(C36:H36)</f>
        <v>3452</v>
      </c>
      <c r="J36" s="3">
        <f t="shared" si="0"/>
        <v>93101</v>
      </c>
    </row>
    <row r="37" spans="1:10" x14ac:dyDescent="0.3">
      <c r="A37" s="3">
        <v>28</v>
      </c>
      <c r="B37" s="3" t="s">
        <v>37</v>
      </c>
      <c r="C37" s="2">
        <v>1095</v>
      </c>
      <c r="D37" s="2">
        <v>0</v>
      </c>
      <c r="E37" s="2">
        <v>762</v>
      </c>
      <c r="F37" s="2">
        <v>0</v>
      </c>
      <c r="G37" s="2">
        <v>1152</v>
      </c>
      <c r="H37" s="2">
        <v>1503</v>
      </c>
      <c r="I37" s="3">
        <f>SUM(C37:H37)</f>
        <v>4512</v>
      </c>
      <c r="J37" s="3">
        <f t="shared" si="0"/>
        <v>97613</v>
      </c>
    </row>
    <row r="38" spans="1:10" x14ac:dyDescent="0.3">
      <c r="A38" s="3">
        <v>29</v>
      </c>
      <c r="B38" s="3" t="s">
        <v>38</v>
      </c>
      <c r="C38" s="2">
        <v>1532</v>
      </c>
      <c r="D38" s="2">
        <v>0</v>
      </c>
      <c r="E38" s="2">
        <v>784</v>
      </c>
      <c r="F38" s="2">
        <v>265</v>
      </c>
      <c r="G38" s="2">
        <v>2381</v>
      </c>
      <c r="H38" s="2">
        <v>2684</v>
      </c>
      <c r="I38" s="3">
        <f>SUM(C38:H38)</f>
        <v>7646</v>
      </c>
      <c r="J38" s="3">
        <f t="shared" si="0"/>
        <v>105259</v>
      </c>
    </row>
    <row r="39" spans="1:10" x14ac:dyDescent="0.3">
      <c r="A39" s="3">
        <v>30</v>
      </c>
      <c r="B39" s="3" t="s">
        <v>39</v>
      </c>
      <c r="C39" s="2">
        <v>2108</v>
      </c>
      <c r="D39" s="2">
        <v>470</v>
      </c>
      <c r="E39" s="2">
        <v>1006</v>
      </c>
      <c r="F39" s="2">
        <v>225</v>
      </c>
      <c r="G39" s="2">
        <v>1699</v>
      </c>
      <c r="H39" s="2">
        <v>941</v>
      </c>
      <c r="I39" s="3">
        <f>SUM(C39:H39)</f>
        <v>6449</v>
      </c>
      <c r="J39" s="3">
        <f t="shared" si="0"/>
        <v>111708</v>
      </c>
    </row>
    <row r="40" spans="1:10" x14ac:dyDescent="0.3">
      <c r="A40" s="3">
        <v>31</v>
      </c>
      <c r="B40" s="3" t="s">
        <v>40</v>
      </c>
      <c r="C40" s="2">
        <v>715</v>
      </c>
      <c r="D40" s="2">
        <v>0</v>
      </c>
      <c r="E40" s="2">
        <v>0</v>
      </c>
      <c r="F40" s="2">
        <v>0</v>
      </c>
      <c r="G40" s="2">
        <v>1819</v>
      </c>
      <c r="H40" s="2">
        <v>963</v>
      </c>
      <c r="I40" s="3">
        <f>SUM(C40:H40)</f>
        <v>3497</v>
      </c>
      <c r="J40" s="3">
        <f t="shared" si="0"/>
        <v>115205</v>
      </c>
    </row>
    <row r="41" spans="1:10" x14ac:dyDescent="0.3">
      <c r="A41" s="3">
        <v>32</v>
      </c>
      <c r="B41" s="3" t="s">
        <v>41</v>
      </c>
      <c r="C41" s="2">
        <v>654</v>
      </c>
      <c r="D41" s="2">
        <v>0</v>
      </c>
      <c r="E41" s="2">
        <v>0</v>
      </c>
      <c r="F41" s="2">
        <v>0</v>
      </c>
      <c r="G41" s="2">
        <v>4940</v>
      </c>
      <c r="H41" s="2">
        <v>1461</v>
      </c>
      <c r="I41" s="3">
        <f>SUM(C41:H41)</f>
        <v>7055</v>
      </c>
      <c r="J41" s="3">
        <f t="shared" si="0"/>
        <v>122260</v>
      </c>
    </row>
    <row r="42" spans="1:10" x14ac:dyDescent="0.3">
      <c r="A42" s="3">
        <v>33</v>
      </c>
      <c r="B42" s="3" t="s">
        <v>42</v>
      </c>
      <c r="C42" s="2">
        <v>648</v>
      </c>
      <c r="D42" s="2">
        <v>0</v>
      </c>
      <c r="E42" s="2">
        <v>0</v>
      </c>
      <c r="F42" s="2">
        <v>189</v>
      </c>
      <c r="G42" s="2">
        <v>2906</v>
      </c>
      <c r="H42" s="2">
        <v>1243</v>
      </c>
      <c r="I42" s="3">
        <f>SUM(C42:H42)</f>
        <v>4986</v>
      </c>
      <c r="J42" s="3">
        <f t="shared" si="0"/>
        <v>127246</v>
      </c>
    </row>
    <row r="43" spans="1:10" x14ac:dyDescent="0.3">
      <c r="A43" s="3">
        <v>34</v>
      </c>
      <c r="B43" s="3" t="s">
        <v>43</v>
      </c>
      <c r="C43" s="2">
        <v>1060</v>
      </c>
      <c r="D43" s="2">
        <v>0</v>
      </c>
      <c r="E43" s="2">
        <v>0</v>
      </c>
      <c r="F43" s="2">
        <v>114</v>
      </c>
      <c r="G43" s="2">
        <v>3320</v>
      </c>
      <c r="H43" s="2">
        <v>747</v>
      </c>
      <c r="I43" s="3">
        <f>SUM(C43:H43)</f>
        <v>5241</v>
      </c>
      <c r="J43" s="3">
        <f t="shared" ref="J43:J74" si="1">I43+J42</f>
        <v>132487</v>
      </c>
    </row>
    <row r="44" spans="1:10" x14ac:dyDescent="0.3">
      <c r="A44" s="3">
        <v>35</v>
      </c>
      <c r="B44" s="3" t="s">
        <v>44</v>
      </c>
      <c r="C44" s="2">
        <v>862</v>
      </c>
      <c r="D44" s="2">
        <v>0</v>
      </c>
      <c r="E44" s="2">
        <v>0</v>
      </c>
      <c r="F44" s="2">
        <v>376</v>
      </c>
      <c r="G44" s="2">
        <v>3637</v>
      </c>
      <c r="H44" s="2">
        <v>1349</v>
      </c>
      <c r="I44" s="3">
        <f>SUM(C44:H44)</f>
        <v>6224</v>
      </c>
      <c r="J44" s="3">
        <f t="shared" si="1"/>
        <v>138711</v>
      </c>
    </row>
    <row r="45" spans="1:10" x14ac:dyDescent="0.3">
      <c r="A45" s="3">
        <v>36</v>
      </c>
      <c r="B45" s="3" t="s">
        <v>45</v>
      </c>
      <c r="C45" s="2">
        <v>349</v>
      </c>
      <c r="D45" s="2">
        <v>0</v>
      </c>
      <c r="E45" s="2">
        <v>0</v>
      </c>
      <c r="F45" s="2">
        <v>36</v>
      </c>
      <c r="G45" s="2">
        <v>2980</v>
      </c>
      <c r="H45" s="2">
        <v>2869</v>
      </c>
      <c r="I45" s="3">
        <f>SUM(C45:H45)</f>
        <v>6234</v>
      </c>
      <c r="J45" s="3">
        <f t="shared" si="1"/>
        <v>144945</v>
      </c>
    </row>
    <row r="46" spans="1:10" x14ac:dyDescent="0.3">
      <c r="A46" s="3">
        <v>37</v>
      </c>
      <c r="B46" s="3" t="s">
        <v>46</v>
      </c>
      <c r="C46" s="2">
        <v>716</v>
      </c>
      <c r="D46" s="2">
        <v>0</v>
      </c>
      <c r="E46" s="2">
        <v>0</v>
      </c>
      <c r="F46" s="2">
        <v>0</v>
      </c>
      <c r="G46" s="2">
        <v>2945</v>
      </c>
      <c r="H46" s="2">
        <v>1881</v>
      </c>
      <c r="I46" s="3">
        <f>SUM(C46:H46)</f>
        <v>5542</v>
      </c>
      <c r="J46" s="3">
        <f t="shared" si="1"/>
        <v>150487</v>
      </c>
    </row>
    <row r="47" spans="1:10" x14ac:dyDescent="0.3">
      <c r="A47" s="3">
        <v>38</v>
      </c>
      <c r="B47" s="3" t="s">
        <v>47</v>
      </c>
      <c r="C47" s="2">
        <v>1110</v>
      </c>
      <c r="D47" s="2">
        <v>0</v>
      </c>
      <c r="E47" s="2">
        <v>0</v>
      </c>
      <c r="F47" s="2">
        <v>232</v>
      </c>
      <c r="G47" s="2">
        <v>1660</v>
      </c>
      <c r="H47" s="2">
        <v>1158</v>
      </c>
      <c r="I47" s="3">
        <f>SUM(C47:H47)</f>
        <v>4160</v>
      </c>
      <c r="J47" s="3">
        <f t="shared" si="1"/>
        <v>154647</v>
      </c>
    </row>
    <row r="48" spans="1:10" x14ac:dyDescent="0.3">
      <c r="A48" s="3">
        <v>39</v>
      </c>
      <c r="B48" s="3" t="s">
        <v>48</v>
      </c>
      <c r="C48" s="2">
        <v>1115</v>
      </c>
      <c r="D48" s="2">
        <v>529</v>
      </c>
      <c r="E48" s="2">
        <v>0</v>
      </c>
      <c r="F48" s="2">
        <v>77</v>
      </c>
      <c r="G48" s="2">
        <v>1061</v>
      </c>
      <c r="H48" s="2">
        <v>1630</v>
      </c>
      <c r="I48" s="3">
        <f>SUM(C48:H48)</f>
        <v>4412</v>
      </c>
      <c r="J48" s="3">
        <f t="shared" si="1"/>
        <v>159059</v>
      </c>
    </row>
    <row r="49" spans="1:10" x14ac:dyDescent="0.3">
      <c r="A49" s="3">
        <v>40</v>
      </c>
      <c r="B49" s="3" t="s">
        <v>49</v>
      </c>
      <c r="C49" s="2">
        <v>738</v>
      </c>
      <c r="D49" s="2">
        <v>0</v>
      </c>
      <c r="E49" s="2">
        <v>0</v>
      </c>
      <c r="F49" s="2">
        <v>262</v>
      </c>
      <c r="G49" s="2">
        <v>1901</v>
      </c>
      <c r="H49" s="2">
        <v>1515</v>
      </c>
      <c r="I49" s="3">
        <f>SUM(C49:H49)</f>
        <v>4416</v>
      </c>
      <c r="J49" s="3">
        <f t="shared" si="1"/>
        <v>163475</v>
      </c>
    </row>
    <row r="50" spans="1:10" x14ac:dyDescent="0.3">
      <c r="A50" s="3">
        <v>41</v>
      </c>
      <c r="B50" s="3" t="s">
        <v>50</v>
      </c>
      <c r="C50" s="2">
        <v>606</v>
      </c>
      <c r="D50" s="2">
        <v>0</v>
      </c>
      <c r="E50" s="2">
        <v>0</v>
      </c>
      <c r="F50" s="2">
        <v>38</v>
      </c>
      <c r="G50" s="2">
        <v>1199</v>
      </c>
      <c r="H50" s="2">
        <v>1382</v>
      </c>
      <c r="I50" s="3">
        <f>SUM(C50:H50)</f>
        <v>3225</v>
      </c>
      <c r="J50" s="3">
        <f t="shared" si="1"/>
        <v>166700</v>
      </c>
    </row>
    <row r="51" spans="1:10" x14ac:dyDescent="0.3">
      <c r="A51" s="3">
        <v>42</v>
      </c>
      <c r="B51" s="3" t="s">
        <v>51</v>
      </c>
      <c r="C51" s="2">
        <v>614</v>
      </c>
      <c r="D51" s="2">
        <v>0</v>
      </c>
      <c r="E51" s="2">
        <v>0</v>
      </c>
      <c r="F51" s="2">
        <v>490</v>
      </c>
      <c r="G51" s="2">
        <v>1036</v>
      </c>
      <c r="H51" s="2">
        <v>1071</v>
      </c>
      <c r="I51" s="3">
        <f>SUM(C51:H51)</f>
        <v>3211</v>
      </c>
      <c r="J51" s="3">
        <f t="shared" si="1"/>
        <v>169911</v>
      </c>
    </row>
    <row r="52" spans="1:10" x14ac:dyDescent="0.3">
      <c r="A52" s="3">
        <v>43</v>
      </c>
      <c r="B52" s="3" t="s">
        <v>52</v>
      </c>
      <c r="C52" s="2">
        <v>103</v>
      </c>
      <c r="D52" s="2">
        <v>0</v>
      </c>
      <c r="E52" s="2">
        <v>0</v>
      </c>
      <c r="F52" s="2">
        <v>485</v>
      </c>
      <c r="G52" s="2">
        <v>1470</v>
      </c>
      <c r="H52" s="2">
        <v>1618</v>
      </c>
      <c r="I52" s="3">
        <f>SUM(C52:H52)</f>
        <v>3676</v>
      </c>
      <c r="J52" s="3">
        <f t="shared" si="1"/>
        <v>173587</v>
      </c>
    </row>
    <row r="53" spans="1:10" x14ac:dyDescent="0.3">
      <c r="A53" s="3">
        <v>44</v>
      </c>
      <c r="B53" s="3" t="s">
        <v>53</v>
      </c>
      <c r="C53" s="2">
        <v>0</v>
      </c>
      <c r="D53" s="2">
        <v>0</v>
      </c>
      <c r="E53" s="2">
        <v>0</v>
      </c>
      <c r="F53" s="2">
        <v>761</v>
      </c>
      <c r="G53" s="2">
        <v>952</v>
      </c>
      <c r="H53" s="2">
        <v>1358</v>
      </c>
      <c r="I53" s="3">
        <f>SUM(C53:H53)</f>
        <v>3071</v>
      </c>
      <c r="J53" s="3">
        <f t="shared" si="1"/>
        <v>176658</v>
      </c>
    </row>
    <row r="54" spans="1:10" x14ac:dyDescent="0.3">
      <c r="A54" s="3">
        <v>45</v>
      </c>
      <c r="B54" s="3" t="s">
        <v>54</v>
      </c>
      <c r="C54" s="2">
        <v>106</v>
      </c>
      <c r="D54" s="2">
        <v>0</v>
      </c>
      <c r="E54" s="2">
        <v>605</v>
      </c>
      <c r="F54" s="2">
        <v>260</v>
      </c>
      <c r="G54" s="2">
        <v>1427</v>
      </c>
      <c r="H54" s="2">
        <v>1589</v>
      </c>
      <c r="I54" s="3">
        <f>SUM(C54:H54)</f>
        <v>3987</v>
      </c>
      <c r="J54" s="3">
        <f t="shared" si="1"/>
        <v>180645</v>
      </c>
    </row>
    <row r="55" spans="1:10" x14ac:dyDescent="0.3">
      <c r="A55" s="3">
        <v>46</v>
      </c>
      <c r="B55" s="3" t="s">
        <v>55</v>
      </c>
      <c r="C55" s="2">
        <v>214</v>
      </c>
      <c r="D55" s="2">
        <v>0</v>
      </c>
      <c r="E55" s="2">
        <v>0</v>
      </c>
      <c r="F55" s="2">
        <v>477</v>
      </c>
      <c r="G55" s="2">
        <v>3810</v>
      </c>
      <c r="H55" s="2">
        <v>1905</v>
      </c>
      <c r="I55" s="3">
        <f>SUM(C55:H55)</f>
        <v>6406</v>
      </c>
      <c r="J55" s="3">
        <f t="shared" si="1"/>
        <v>187051</v>
      </c>
    </row>
    <row r="56" spans="1:10" x14ac:dyDescent="0.3">
      <c r="A56" s="3">
        <v>47</v>
      </c>
      <c r="B56" s="3" t="s">
        <v>56</v>
      </c>
      <c r="C56" s="2">
        <v>320</v>
      </c>
      <c r="D56" s="2">
        <v>0</v>
      </c>
      <c r="E56" s="2">
        <v>0</v>
      </c>
      <c r="F56" s="2">
        <v>381</v>
      </c>
      <c r="G56" s="2">
        <v>3395</v>
      </c>
      <c r="H56" s="2">
        <v>732</v>
      </c>
      <c r="I56" s="3">
        <f>SUM(C56:H56)</f>
        <v>4828</v>
      </c>
      <c r="J56" s="3">
        <f t="shared" si="1"/>
        <v>191879</v>
      </c>
    </row>
    <row r="57" spans="1:10" x14ac:dyDescent="0.3">
      <c r="A57" s="3">
        <v>48</v>
      </c>
      <c r="B57" s="3" t="s">
        <v>57</v>
      </c>
      <c r="C57" s="2">
        <v>254</v>
      </c>
      <c r="D57" s="2">
        <v>0</v>
      </c>
      <c r="E57" s="2">
        <v>0</v>
      </c>
      <c r="F57" s="2">
        <v>307</v>
      </c>
      <c r="G57" s="2">
        <v>1811</v>
      </c>
      <c r="H57" s="2">
        <v>1804</v>
      </c>
      <c r="I57" s="3">
        <f>SUM(C57:H57)</f>
        <v>4176</v>
      </c>
      <c r="J57" s="3">
        <f t="shared" si="1"/>
        <v>196055</v>
      </c>
    </row>
    <row r="58" spans="1:10" x14ac:dyDescent="0.3">
      <c r="A58" s="3">
        <v>49</v>
      </c>
      <c r="B58" s="3" t="s">
        <v>58</v>
      </c>
      <c r="C58" s="2">
        <v>0</v>
      </c>
      <c r="D58" s="2">
        <v>0</v>
      </c>
      <c r="E58" s="2">
        <v>0</v>
      </c>
      <c r="F58" s="2">
        <v>337</v>
      </c>
      <c r="G58" s="2">
        <v>1237</v>
      </c>
      <c r="H58" s="2">
        <v>687</v>
      </c>
      <c r="I58" s="3">
        <f>SUM(C58:H58)</f>
        <v>2261</v>
      </c>
      <c r="J58" s="3">
        <f t="shared" si="1"/>
        <v>198316</v>
      </c>
    </row>
    <row r="59" spans="1:10" x14ac:dyDescent="0.3">
      <c r="A59" s="3">
        <v>50</v>
      </c>
      <c r="B59" s="3" t="s">
        <v>59</v>
      </c>
      <c r="C59" s="2">
        <v>0</v>
      </c>
      <c r="D59" s="2">
        <v>0</v>
      </c>
      <c r="E59" s="2">
        <v>0</v>
      </c>
      <c r="F59" s="2">
        <v>188</v>
      </c>
      <c r="G59" s="2">
        <v>5575</v>
      </c>
      <c r="H59" s="2">
        <v>579</v>
      </c>
      <c r="I59" s="3">
        <f>SUM(C59:H59)</f>
        <v>6342</v>
      </c>
      <c r="J59" s="3">
        <f t="shared" si="1"/>
        <v>204658</v>
      </c>
    </row>
    <row r="60" spans="1:10" x14ac:dyDescent="0.3">
      <c r="A60" s="3">
        <v>51</v>
      </c>
      <c r="B60" s="3" t="s">
        <v>60</v>
      </c>
      <c r="C60" s="2">
        <v>0</v>
      </c>
      <c r="D60" s="2">
        <v>0</v>
      </c>
      <c r="E60" s="2">
        <v>0</v>
      </c>
      <c r="F60" s="2">
        <v>30</v>
      </c>
      <c r="G60" s="2">
        <v>5811</v>
      </c>
      <c r="H60" s="2">
        <v>0</v>
      </c>
      <c r="I60" s="3">
        <f>SUM(C60:H60)</f>
        <v>5841</v>
      </c>
      <c r="J60" s="3">
        <f t="shared" si="1"/>
        <v>210499</v>
      </c>
    </row>
    <row r="61" spans="1:10" x14ac:dyDescent="0.3">
      <c r="A61" s="3">
        <v>52</v>
      </c>
      <c r="B61" s="3" t="s">
        <v>61</v>
      </c>
      <c r="C61" s="2">
        <v>223</v>
      </c>
      <c r="D61" s="2">
        <v>0</v>
      </c>
      <c r="E61" s="2">
        <v>0</v>
      </c>
      <c r="F61" s="2">
        <v>676</v>
      </c>
      <c r="G61" s="2">
        <v>2599</v>
      </c>
      <c r="H61" s="2">
        <v>799</v>
      </c>
      <c r="I61" s="3">
        <f>SUM(C61:H61)</f>
        <v>4297</v>
      </c>
      <c r="J61" s="3">
        <f t="shared" si="1"/>
        <v>214796</v>
      </c>
    </row>
    <row r="62" spans="1:10" x14ac:dyDescent="0.3">
      <c r="A62" s="3" t="s">
        <v>2</v>
      </c>
      <c r="B62" s="3" t="s">
        <v>62</v>
      </c>
      <c r="C62" s="3">
        <f t="shared" ref="C62:H62" si="2">SUM(C10:C61)</f>
        <v>40731</v>
      </c>
      <c r="D62" s="3">
        <f t="shared" si="2"/>
        <v>999</v>
      </c>
      <c r="E62" s="3">
        <f t="shared" si="2"/>
        <v>32638</v>
      </c>
      <c r="F62" s="3">
        <f t="shared" si="2"/>
        <v>11254</v>
      </c>
      <c r="G62" s="3">
        <f t="shared" si="2"/>
        <v>65955</v>
      </c>
      <c r="H62" s="3">
        <f t="shared" si="2"/>
        <v>63219</v>
      </c>
      <c r="I62" s="3">
        <f>SUM(I10:I61)</f>
        <v>214796</v>
      </c>
      <c r="J62" s="3"/>
    </row>
  </sheetData>
  <mergeCells count="3">
    <mergeCell ref="A6:J6"/>
    <mergeCell ref="A7:J7"/>
    <mergeCell ref="A8:J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M62"/>
  <sheetViews>
    <sheetView workbookViewId="0">
      <pane xSplit="2" ySplit="9" topLeftCell="C52" activePane="bottomRight" state="frozen"/>
      <selection pane="topRight" activeCell="C1" sqref="C1"/>
      <selection pane="bottomLeft" activeCell="A10" sqref="A10"/>
      <selection pane="bottomRight" activeCell="M62" sqref="M62"/>
    </sheetView>
  </sheetViews>
  <sheetFormatPr defaultRowHeight="14.4" x14ac:dyDescent="0.3"/>
  <cols>
    <col min="1" max="1" width="10" customWidth="1"/>
    <col min="2" max="2" width="27.5546875" customWidth="1"/>
    <col min="3" max="3" width="13.33203125" customWidth="1"/>
    <col min="4" max="4" width="12.88671875" customWidth="1"/>
    <col min="5" max="5" width="10" customWidth="1"/>
    <col min="6" max="6" width="10.21875" customWidth="1"/>
    <col min="7" max="7" width="10" customWidth="1"/>
    <col min="8" max="8" width="12.6640625" customWidth="1"/>
    <col min="9" max="9" width="10" customWidth="1"/>
    <col min="10" max="10" width="23.5546875" customWidth="1"/>
    <col min="11" max="11" width="17" customWidth="1"/>
    <col min="12" max="12" width="16.21875" bestFit="1" customWidth="1"/>
    <col min="13" max="13" width="21.77734375" bestFit="1" customWidth="1"/>
  </cols>
  <sheetData>
    <row r="6" spans="1:13" ht="15.6" x14ac:dyDescent="0.3">
      <c r="A6" s="4" t="s">
        <v>63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</row>
    <row r="7" spans="1:13" ht="15.6" x14ac:dyDescent="0.3">
      <c r="A7" s="4" t="s">
        <v>64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6"/>
    </row>
    <row r="8" spans="1:13" x14ac:dyDescent="0.3">
      <c r="A8" s="7" t="s">
        <v>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9"/>
    </row>
    <row r="9" spans="1:13" x14ac:dyDescent="0.3">
      <c r="A9" s="1"/>
      <c r="B9" s="1" t="s">
        <v>3</v>
      </c>
      <c r="C9" s="1" t="s">
        <v>65</v>
      </c>
      <c r="D9" s="1" t="s">
        <v>66</v>
      </c>
      <c r="E9" s="1" t="s">
        <v>67</v>
      </c>
      <c r="F9" s="1" t="s">
        <v>68</v>
      </c>
      <c r="G9" s="1" t="s">
        <v>69</v>
      </c>
      <c r="H9" s="1" t="s">
        <v>70</v>
      </c>
      <c r="I9" s="1" t="s">
        <v>71</v>
      </c>
      <c r="J9" s="1" t="s">
        <v>72</v>
      </c>
      <c r="K9" s="1" t="s">
        <v>73</v>
      </c>
      <c r="L9" s="10" t="s">
        <v>87</v>
      </c>
      <c r="M9" s="10" t="s">
        <v>88</v>
      </c>
    </row>
    <row r="10" spans="1:13" x14ac:dyDescent="0.3">
      <c r="A10" s="3">
        <v>1</v>
      </c>
      <c r="B10" s="3" t="s">
        <v>10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57794</v>
      </c>
      <c r="J10" s="2">
        <v>7789</v>
      </c>
      <c r="K10" s="2">
        <v>10865</v>
      </c>
      <c r="L10" s="3">
        <f>SUM(C10:K10)</f>
        <v>76448</v>
      </c>
      <c r="M10" s="3">
        <f>L10</f>
        <v>76448</v>
      </c>
    </row>
    <row r="11" spans="1:13" x14ac:dyDescent="0.3">
      <c r="A11" s="3">
        <v>2</v>
      </c>
      <c r="B11" s="3" t="s">
        <v>11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12324</v>
      </c>
      <c r="I11" s="2">
        <v>33039</v>
      </c>
      <c r="J11" s="2">
        <v>25211</v>
      </c>
      <c r="K11" s="2">
        <v>0</v>
      </c>
      <c r="L11" s="3">
        <f>SUM(C11:K11)</f>
        <v>70574</v>
      </c>
      <c r="M11" s="3">
        <f t="shared" ref="M11:M42" si="0">L11+M10</f>
        <v>147022</v>
      </c>
    </row>
    <row r="12" spans="1:13" x14ac:dyDescent="0.3">
      <c r="A12" s="3">
        <v>3</v>
      </c>
      <c r="B12" s="3" t="s">
        <v>12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11787</v>
      </c>
      <c r="I12" s="2">
        <v>41093</v>
      </c>
      <c r="J12" s="2">
        <v>12773</v>
      </c>
      <c r="K12" s="2">
        <v>0</v>
      </c>
      <c r="L12" s="3">
        <f>SUM(C12:K12)</f>
        <v>65653</v>
      </c>
      <c r="M12" s="3">
        <f t="shared" si="0"/>
        <v>212675</v>
      </c>
    </row>
    <row r="13" spans="1:13" x14ac:dyDescent="0.3">
      <c r="A13" s="3">
        <v>4</v>
      </c>
      <c r="B13" s="3" t="s">
        <v>13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12760</v>
      </c>
      <c r="J13" s="2">
        <v>35554</v>
      </c>
      <c r="K13" s="2">
        <v>0</v>
      </c>
      <c r="L13" s="3">
        <f>SUM(C13:K13)</f>
        <v>48314</v>
      </c>
      <c r="M13" s="3">
        <f t="shared" si="0"/>
        <v>260989</v>
      </c>
    </row>
    <row r="14" spans="1:13" x14ac:dyDescent="0.3">
      <c r="A14" s="3">
        <v>5</v>
      </c>
      <c r="B14" s="3" t="s">
        <v>14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34956</v>
      </c>
      <c r="I14" s="2">
        <v>19822</v>
      </c>
      <c r="J14" s="2">
        <v>0</v>
      </c>
      <c r="K14" s="2">
        <v>0</v>
      </c>
      <c r="L14" s="3">
        <f>SUM(C14:K14)</f>
        <v>54778</v>
      </c>
      <c r="M14" s="3">
        <f t="shared" si="0"/>
        <v>315767</v>
      </c>
    </row>
    <row r="15" spans="1:13" x14ac:dyDescent="0.3">
      <c r="A15" s="3">
        <v>6</v>
      </c>
      <c r="B15" s="3" t="s">
        <v>15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23993</v>
      </c>
      <c r="I15" s="2">
        <v>0</v>
      </c>
      <c r="J15" s="2">
        <v>0</v>
      </c>
      <c r="K15" s="2">
        <v>0</v>
      </c>
      <c r="L15" s="3">
        <f>SUM(C15:K15)</f>
        <v>23993</v>
      </c>
      <c r="M15" s="3">
        <f t="shared" si="0"/>
        <v>339760</v>
      </c>
    </row>
    <row r="16" spans="1:13" x14ac:dyDescent="0.3">
      <c r="A16" s="3">
        <v>7</v>
      </c>
      <c r="B16" s="3" t="s">
        <v>16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31761</v>
      </c>
      <c r="J16" s="2">
        <v>2435</v>
      </c>
      <c r="K16" s="2">
        <v>0</v>
      </c>
      <c r="L16" s="3">
        <f>SUM(C16:K16)</f>
        <v>34196</v>
      </c>
      <c r="M16" s="3">
        <f t="shared" si="0"/>
        <v>373956</v>
      </c>
    </row>
    <row r="17" spans="1:13" x14ac:dyDescent="0.3">
      <c r="A17" s="3">
        <v>8</v>
      </c>
      <c r="B17" s="3" t="s">
        <v>17</v>
      </c>
      <c r="C17" s="2">
        <v>0</v>
      </c>
      <c r="D17" s="2">
        <v>0</v>
      </c>
      <c r="E17" s="2">
        <v>0</v>
      </c>
      <c r="F17" s="2">
        <v>0</v>
      </c>
      <c r="G17" s="2">
        <v>14699</v>
      </c>
      <c r="H17" s="2">
        <v>0</v>
      </c>
      <c r="I17" s="2">
        <v>12099</v>
      </c>
      <c r="J17" s="2">
        <v>39767</v>
      </c>
      <c r="K17" s="2">
        <v>0</v>
      </c>
      <c r="L17" s="3">
        <f>SUM(C17:K17)</f>
        <v>66565</v>
      </c>
      <c r="M17" s="3">
        <f t="shared" si="0"/>
        <v>440521</v>
      </c>
    </row>
    <row r="18" spans="1:13" x14ac:dyDescent="0.3">
      <c r="A18" s="3">
        <v>9</v>
      </c>
      <c r="B18" s="3" t="s">
        <v>18</v>
      </c>
      <c r="C18" s="2">
        <v>0</v>
      </c>
      <c r="D18" s="2">
        <v>0</v>
      </c>
      <c r="E18" s="2">
        <v>4300</v>
      </c>
      <c r="F18" s="2">
        <v>0</v>
      </c>
      <c r="G18" s="2">
        <v>12257</v>
      </c>
      <c r="H18" s="2">
        <v>17715</v>
      </c>
      <c r="I18" s="2">
        <v>0</v>
      </c>
      <c r="J18" s="2">
        <v>3233</v>
      </c>
      <c r="K18" s="2">
        <v>0</v>
      </c>
      <c r="L18" s="3">
        <f>SUM(C18:K18)</f>
        <v>37505</v>
      </c>
      <c r="M18" s="3">
        <f t="shared" si="0"/>
        <v>478026</v>
      </c>
    </row>
    <row r="19" spans="1:13" x14ac:dyDescent="0.3">
      <c r="A19" s="3">
        <v>10</v>
      </c>
      <c r="B19" s="3" t="s">
        <v>19</v>
      </c>
      <c r="C19" s="2">
        <v>0</v>
      </c>
      <c r="D19" s="2">
        <v>0</v>
      </c>
      <c r="E19" s="2">
        <v>0</v>
      </c>
      <c r="F19" s="2">
        <v>0</v>
      </c>
      <c r="G19" s="2">
        <v>22447</v>
      </c>
      <c r="H19" s="2">
        <v>36209</v>
      </c>
      <c r="I19" s="2">
        <v>0</v>
      </c>
      <c r="J19" s="2">
        <v>0</v>
      </c>
      <c r="K19" s="2">
        <v>0</v>
      </c>
      <c r="L19" s="3">
        <f>SUM(C19:K19)</f>
        <v>58656</v>
      </c>
      <c r="M19" s="3">
        <f t="shared" si="0"/>
        <v>536682</v>
      </c>
    </row>
    <row r="20" spans="1:13" x14ac:dyDescent="0.3">
      <c r="A20" s="3">
        <v>11</v>
      </c>
      <c r="B20" s="3" t="s">
        <v>20</v>
      </c>
      <c r="C20" s="2">
        <v>0</v>
      </c>
      <c r="D20" s="2">
        <v>0</v>
      </c>
      <c r="E20" s="2">
        <v>0</v>
      </c>
      <c r="F20" s="2">
        <v>0</v>
      </c>
      <c r="G20" s="2">
        <v>29519</v>
      </c>
      <c r="H20" s="2">
        <v>0</v>
      </c>
      <c r="I20" s="2">
        <v>0</v>
      </c>
      <c r="J20" s="2">
        <v>0</v>
      </c>
      <c r="K20" s="2">
        <v>0</v>
      </c>
      <c r="L20" s="3">
        <f>SUM(C20:K20)</f>
        <v>29519</v>
      </c>
      <c r="M20" s="3">
        <f t="shared" si="0"/>
        <v>566201</v>
      </c>
    </row>
    <row r="21" spans="1:13" x14ac:dyDescent="0.3">
      <c r="A21" s="3">
        <v>12</v>
      </c>
      <c r="B21" s="3" t="s">
        <v>21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3">
        <f>SUM(C21:K21)</f>
        <v>0</v>
      </c>
      <c r="M21" s="3">
        <f t="shared" si="0"/>
        <v>566201</v>
      </c>
    </row>
    <row r="22" spans="1:13" x14ac:dyDescent="0.3">
      <c r="A22" s="3">
        <v>13</v>
      </c>
      <c r="B22" s="3" t="s">
        <v>22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3">
        <f>SUM(C22:K22)</f>
        <v>0</v>
      </c>
      <c r="M22" s="3">
        <f t="shared" si="0"/>
        <v>566201</v>
      </c>
    </row>
    <row r="23" spans="1:13" x14ac:dyDescent="0.3">
      <c r="A23" s="3">
        <v>14</v>
      </c>
      <c r="B23" s="3" t="s">
        <v>23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3">
        <f>SUM(C23:K23)</f>
        <v>0</v>
      </c>
      <c r="M23" s="3">
        <f t="shared" si="0"/>
        <v>566201</v>
      </c>
    </row>
    <row r="24" spans="1:13" x14ac:dyDescent="0.3">
      <c r="A24" s="3">
        <v>15</v>
      </c>
      <c r="B24" s="3" t="s">
        <v>24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26148</v>
      </c>
      <c r="J24" s="2">
        <v>0</v>
      </c>
      <c r="K24" s="2">
        <v>0</v>
      </c>
      <c r="L24" s="3">
        <f>SUM(C24:K24)</f>
        <v>26148</v>
      </c>
      <c r="M24" s="3">
        <f t="shared" si="0"/>
        <v>592349</v>
      </c>
    </row>
    <row r="25" spans="1:13" x14ac:dyDescent="0.3">
      <c r="A25" s="3">
        <v>16</v>
      </c>
      <c r="B25" s="3" t="s">
        <v>25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28180</v>
      </c>
      <c r="J25" s="2">
        <v>0</v>
      </c>
      <c r="K25" s="2">
        <v>0</v>
      </c>
      <c r="L25" s="3">
        <f>SUM(C25:K25)</f>
        <v>28180</v>
      </c>
      <c r="M25" s="3">
        <f t="shared" si="0"/>
        <v>620529</v>
      </c>
    </row>
    <row r="26" spans="1:13" x14ac:dyDescent="0.3">
      <c r="A26" s="3">
        <v>17</v>
      </c>
      <c r="B26" s="3" t="s">
        <v>26</v>
      </c>
      <c r="C26" s="2">
        <v>0</v>
      </c>
      <c r="D26" s="2">
        <v>0</v>
      </c>
      <c r="E26" s="2">
        <v>0</v>
      </c>
      <c r="F26" s="2">
        <v>0</v>
      </c>
      <c r="G26" s="2">
        <v>20172</v>
      </c>
      <c r="H26" s="2">
        <v>0</v>
      </c>
      <c r="I26" s="2">
        <v>0</v>
      </c>
      <c r="J26" s="2">
        <v>0</v>
      </c>
      <c r="K26" s="2">
        <v>0</v>
      </c>
      <c r="L26" s="3">
        <f>SUM(C26:K26)</f>
        <v>20172</v>
      </c>
      <c r="M26" s="3">
        <f t="shared" si="0"/>
        <v>640701</v>
      </c>
    </row>
    <row r="27" spans="1:13" x14ac:dyDescent="0.3">
      <c r="A27" s="3">
        <v>18</v>
      </c>
      <c r="B27" s="3" t="s">
        <v>27</v>
      </c>
      <c r="C27" s="2">
        <v>0</v>
      </c>
      <c r="D27" s="2">
        <v>0</v>
      </c>
      <c r="E27" s="2">
        <v>0</v>
      </c>
      <c r="F27" s="2">
        <v>19107</v>
      </c>
      <c r="G27" s="2">
        <v>30087</v>
      </c>
      <c r="H27" s="2">
        <v>0</v>
      </c>
      <c r="I27" s="2">
        <v>0</v>
      </c>
      <c r="J27" s="2">
        <v>0</v>
      </c>
      <c r="K27" s="2">
        <v>0</v>
      </c>
      <c r="L27" s="3">
        <f>SUM(C27:K27)</f>
        <v>49194</v>
      </c>
      <c r="M27" s="3">
        <f t="shared" si="0"/>
        <v>689895</v>
      </c>
    </row>
    <row r="28" spans="1:13" x14ac:dyDescent="0.3">
      <c r="A28" s="3">
        <v>19</v>
      </c>
      <c r="B28" s="3" t="s">
        <v>28</v>
      </c>
      <c r="C28" s="2">
        <v>0</v>
      </c>
      <c r="D28" s="2">
        <v>0</v>
      </c>
      <c r="E28" s="2">
        <v>0</v>
      </c>
      <c r="F28" s="2">
        <v>13334</v>
      </c>
      <c r="G28" s="2">
        <v>0</v>
      </c>
      <c r="H28" s="2">
        <v>22282</v>
      </c>
      <c r="I28" s="2">
        <v>0</v>
      </c>
      <c r="J28" s="2">
        <v>0</v>
      </c>
      <c r="K28" s="2">
        <v>0</v>
      </c>
      <c r="L28" s="3">
        <f>SUM(C28:K28)</f>
        <v>35616</v>
      </c>
      <c r="M28" s="3">
        <f t="shared" si="0"/>
        <v>725511</v>
      </c>
    </row>
    <row r="29" spans="1:13" x14ac:dyDescent="0.3">
      <c r="A29" s="3">
        <v>20</v>
      </c>
      <c r="B29" s="3" t="s">
        <v>29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9003</v>
      </c>
      <c r="I29" s="2">
        <v>0</v>
      </c>
      <c r="J29" s="2">
        <v>0</v>
      </c>
      <c r="K29" s="2">
        <v>0</v>
      </c>
      <c r="L29" s="3">
        <f>SUM(C29:K29)</f>
        <v>9003</v>
      </c>
      <c r="M29" s="3">
        <f t="shared" si="0"/>
        <v>734514</v>
      </c>
    </row>
    <row r="30" spans="1:13" x14ac:dyDescent="0.3">
      <c r="A30" s="3">
        <v>21</v>
      </c>
      <c r="B30" s="3" t="s">
        <v>30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19570</v>
      </c>
      <c r="I30" s="2">
        <v>0</v>
      </c>
      <c r="J30" s="2">
        <v>0</v>
      </c>
      <c r="K30" s="2">
        <v>0</v>
      </c>
      <c r="L30" s="3">
        <f>SUM(C30:K30)</f>
        <v>19570</v>
      </c>
      <c r="M30" s="3">
        <f t="shared" si="0"/>
        <v>754084</v>
      </c>
    </row>
    <row r="31" spans="1:13" x14ac:dyDescent="0.3">
      <c r="A31" s="3">
        <v>22</v>
      </c>
      <c r="B31" s="3" t="s">
        <v>31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3943</v>
      </c>
      <c r="I31" s="2">
        <v>0</v>
      </c>
      <c r="J31" s="2">
        <v>0</v>
      </c>
      <c r="K31" s="2">
        <v>0</v>
      </c>
      <c r="L31" s="3">
        <f>SUM(C31:K31)</f>
        <v>3943</v>
      </c>
      <c r="M31" s="3">
        <f t="shared" si="0"/>
        <v>758027</v>
      </c>
    </row>
    <row r="32" spans="1:13" x14ac:dyDescent="0.3">
      <c r="A32" s="3">
        <v>23</v>
      </c>
      <c r="B32" s="3" t="s">
        <v>32</v>
      </c>
      <c r="C32" s="2">
        <v>3899</v>
      </c>
      <c r="D32" s="2">
        <v>0</v>
      </c>
      <c r="E32" s="2">
        <v>0</v>
      </c>
      <c r="F32" s="2">
        <v>0</v>
      </c>
      <c r="G32" s="2">
        <v>0</v>
      </c>
      <c r="H32" s="2">
        <v>19088</v>
      </c>
      <c r="I32" s="2">
        <v>12002</v>
      </c>
      <c r="J32" s="2">
        <v>0</v>
      </c>
      <c r="K32" s="2">
        <v>0</v>
      </c>
      <c r="L32" s="3">
        <f>SUM(C32:K32)</f>
        <v>34989</v>
      </c>
      <c r="M32" s="3">
        <f t="shared" si="0"/>
        <v>793016</v>
      </c>
    </row>
    <row r="33" spans="1:13" x14ac:dyDescent="0.3">
      <c r="A33" s="3">
        <v>24</v>
      </c>
      <c r="B33" s="3" t="s">
        <v>33</v>
      </c>
      <c r="C33" s="2">
        <v>0</v>
      </c>
      <c r="D33" s="2">
        <v>40670</v>
      </c>
      <c r="E33" s="2">
        <v>0</v>
      </c>
      <c r="F33" s="2">
        <v>0</v>
      </c>
      <c r="G33" s="2">
        <v>0</v>
      </c>
      <c r="H33" s="2">
        <v>18299</v>
      </c>
      <c r="I33" s="2">
        <v>42646</v>
      </c>
      <c r="J33" s="2">
        <v>0</v>
      </c>
      <c r="K33" s="2">
        <v>0</v>
      </c>
      <c r="L33" s="3">
        <f>SUM(C33:K33)</f>
        <v>101615</v>
      </c>
      <c r="M33" s="3">
        <f t="shared" si="0"/>
        <v>894631</v>
      </c>
    </row>
    <row r="34" spans="1:13" x14ac:dyDescent="0.3">
      <c r="A34" s="3">
        <v>25</v>
      </c>
      <c r="B34" s="3" t="s">
        <v>34</v>
      </c>
      <c r="C34" s="2">
        <v>0</v>
      </c>
      <c r="D34" s="2">
        <v>19535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3">
        <f>SUM(C34:K34)</f>
        <v>19535</v>
      </c>
      <c r="M34" s="3">
        <f t="shared" si="0"/>
        <v>914166</v>
      </c>
    </row>
    <row r="35" spans="1:13" x14ac:dyDescent="0.3">
      <c r="A35" s="3">
        <v>26</v>
      </c>
      <c r="B35" s="3" t="s">
        <v>35</v>
      </c>
      <c r="C35" s="2">
        <v>0</v>
      </c>
      <c r="D35" s="2">
        <v>14695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3">
        <f>SUM(C35:K35)</f>
        <v>14695</v>
      </c>
      <c r="M35" s="3">
        <f t="shared" si="0"/>
        <v>928861</v>
      </c>
    </row>
    <row r="36" spans="1:13" x14ac:dyDescent="0.3">
      <c r="A36" s="3">
        <v>27</v>
      </c>
      <c r="B36" s="3" t="s">
        <v>36</v>
      </c>
      <c r="C36" s="2">
        <v>0</v>
      </c>
      <c r="D36" s="2">
        <v>5972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3">
        <f>SUM(C36:K36)</f>
        <v>5972</v>
      </c>
      <c r="M36" s="3">
        <f t="shared" si="0"/>
        <v>934833</v>
      </c>
    </row>
    <row r="37" spans="1:13" x14ac:dyDescent="0.3">
      <c r="A37" s="3">
        <v>28</v>
      </c>
      <c r="B37" s="3" t="s">
        <v>37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3">
        <f>SUM(C37:K37)</f>
        <v>0</v>
      </c>
      <c r="M37" s="3">
        <f t="shared" si="0"/>
        <v>934833</v>
      </c>
    </row>
    <row r="38" spans="1:13" x14ac:dyDescent="0.3">
      <c r="A38" s="3">
        <v>29</v>
      </c>
      <c r="B38" s="3" t="s">
        <v>38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15000</v>
      </c>
      <c r="I38" s="2">
        <v>0</v>
      </c>
      <c r="J38" s="2">
        <v>0</v>
      </c>
      <c r="K38" s="2">
        <v>0</v>
      </c>
      <c r="L38" s="3">
        <f>SUM(C38:K38)</f>
        <v>15000</v>
      </c>
      <c r="M38" s="3">
        <f t="shared" si="0"/>
        <v>949833</v>
      </c>
    </row>
    <row r="39" spans="1:13" x14ac:dyDescent="0.3">
      <c r="A39" s="3">
        <v>30</v>
      </c>
      <c r="B39" s="3" t="s">
        <v>39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4830</v>
      </c>
      <c r="I39" s="2">
        <v>0</v>
      </c>
      <c r="J39" s="2">
        <v>0</v>
      </c>
      <c r="K39" s="2">
        <v>0</v>
      </c>
      <c r="L39" s="3">
        <f>SUM(C39:K39)</f>
        <v>4830</v>
      </c>
      <c r="M39" s="3">
        <f t="shared" si="0"/>
        <v>954663</v>
      </c>
    </row>
    <row r="40" spans="1:13" x14ac:dyDescent="0.3">
      <c r="A40" s="3">
        <v>31</v>
      </c>
      <c r="B40" s="3" t="s">
        <v>40</v>
      </c>
      <c r="C40" s="2">
        <v>0</v>
      </c>
      <c r="D40" s="2">
        <v>21766</v>
      </c>
      <c r="E40" s="2">
        <v>0</v>
      </c>
      <c r="F40" s="2">
        <v>0</v>
      </c>
      <c r="G40" s="2">
        <v>0</v>
      </c>
      <c r="H40" s="2">
        <v>17249</v>
      </c>
      <c r="I40" s="2">
        <v>0</v>
      </c>
      <c r="J40" s="2">
        <v>0</v>
      </c>
      <c r="K40" s="2">
        <v>13192</v>
      </c>
      <c r="L40" s="3">
        <f>SUM(C40:K40)</f>
        <v>52207</v>
      </c>
      <c r="M40" s="3">
        <f t="shared" si="0"/>
        <v>1006870</v>
      </c>
    </row>
    <row r="41" spans="1:13" x14ac:dyDescent="0.3">
      <c r="A41" s="3">
        <v>32</v>
      </c>
      <c r="B41" s="3" t="s">
        <v>41</v>
      </c>
      <c r="C41" s="2">
        <v>0</v>
      </c>
      <c r="D41" s="2">
        <v>33138</v>
      </c>
      <c r="E41" s="2">
        <v>0</v>
      </c>
      <c r="F41" s="2">
        <v>0</v>
      </c>
      <c r="G41" s="2">
        <v>0</v>
      </c>
      <c r="H41" s="2">
        <v>20000</v>
      </c>
      <c r="I41" s="2">
        <v>0</v>
      </c>
      <c r="J41" s="2">
        <v>0</v>
      </c>
      <c r="K41" s="2">
        <v>0</v>
      </c>
      <c r="L41" s="3">
        <f>SUM(C41:K41)</f>
        <v>53138</v>
      </c>
      <c r="M41" s="3">
        <f t="shared" si="0"/>
        <v>1060008</v>
      </c>
    </row>
    <row r="42" spans="1:13" x14ac:dyDescent="0.3">
      <c r="A42" s="3">
        <v>33</v>
      </c>
      <c r="B42" s="3" t="s">
        <v>42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9026</v>
      </c>
      <c r="I42" s="2">
        <v>16225</v>
      </c>
      <c r="J42" s="2">
        <v>52479</v>
      </c>
      <c r="K42" s="2">
        <v>0</v>
      </c>
      <c r="L42" s="3">
        <f>SUM(C42:K42)</f>
        <v>77730</v>
      </c>
      <c r="M42" s="3">
        <f t="shared" si="0"/>
        <v>1137738</v>
      </c>
    </row>
    <row r="43" spans="1:13" x14ac:dyDescent="0.3">
      <c r="A43" s="3">
        <v>34</v>
      </c>
      <c r="B43" s="3" t="s">
        <v>43</v>
      </c>
      <c r="C43" s="2">
        <v>0</v>
      </c>
      <c r="D43" s="2">
        <v>23279</v>
      </c>
      <c r="E43" s="2">
        <v>0</v>
      </c>
      <c r="F43" s="2">
        <v>0</v>
      </c>
      <c r="G43" s="2">
        <v>0</v>
      </c>
      <c r="H43" s="2">
        <v>20203</v>
      </c>
      <c r="I43" s="2">
        <v>16020</v>
      </c>
      <c r="J43" s="2">
        <v>27637</v>
      </c>
      <c r="K43" s="2">
        <v>0</v>
      </c>
      <c r="L43" s="3">
        <f>SUM(C43:K43)</f>
        <v>87139</v>
      </c>
      <c r="M43" s="3">
        <f t="shared" ref="M43:M74" si="1">L43+M42</f>
        <v>1224877</v>
      </c>
    </row>
    <row r="44" spans="1:13" x14ac:dyDescent="0.3">
      <c r="A44" s="3">
        <v>35</v>
      </c>
      <c r="B44" s="3" t="s">
        <v>44</v>
      </c>
      <c r="C44" s="2">
        <v>0</v>
      </c>
      <c r="D44" s="2">
        <v>6004</v>
      </c>
      <c r="E44" s="2">
        <v>0</v>
      </c>
      <c r="F44" s="2">
        <v>0</v>
      </c>
      <c r="G44" s="2">
        <v>0</v>
      </c>
      <c r="H44" s="2">
        <v>0</v>
      </c>
      <c r="I44" s="2">
        <v>6603</v>
      </c>
      <c r="J44" s="2">
        <v>0</v>
      </c>
      <c r="K44" s="2">
        <v>0</v>
      </c>
      <c r="L44" s="3">
        <f>SUM(C44:K44)</f>
        <v>12607</v>
      </c>
      <c r="M44" s="3">
        <f t="shared" si="1"/>
        <v>1237484</v>
      </c>
    </row>
    <row r="45" spans="1:13" x14ac:dyDescent="0.3">
      <c r="A45" s="3">
        <v>36</v>
      </c>
      <c r="B45" s="3" t="s">
        <v>45</v>
      </c>
      <c r="C45" s="2">
        <v>0</v>
      </c>
      <c r="D45" s="2">
        <v>7898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3">
        <f>SUM(C45:K45)</f>
        <v>7898</v>
      </c>
      <c r="M45" s="3">
        <f t="shared" si="1"/>
        <v>1245382</v>
      </c>
    </row>
    <row r="46" spans="1:13" x14ac:dyDescent="0.3">
      <c r="A46" s="3">
        <v>37</v>
      </c>
      <c r="B46" s="3" t="s">
        <v>46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17946</v>
      </c>
      <c r="K46" s="2">
        <v>0</v>
      </c>
      <c r="L46" s="3">
        <f>SUM(C46:K46)</f>
        <v>17946</v>
      </c>
      <c r="M46" s="3">
        <f t="shared" si="1"/>
        <v>1263328</v>
      </c>
    </row>
    <row r="47" spans="1:13" x14ac:dyDescent="0.3">
      <c r="A47" s="3">
        <v>38</v>
      </c>
      <c r="B47" s="3" t="s">
        <v>47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27113</v>
      </c>
      <c r="K47" s="2">
        <v>0</v>
      </c>
      <c r="L47" s="3">
        <f>SUM(C47:K47)</f>
        <v>27113</v>
      </c>
      <c r="M47" s="3">
        <f t="shared" si="1"/>
        <v>1290441</v>
      </c>
    </row>
    <row r="48" spans="1:13" x14ac:dyDescent="0.3">
      <c r="A48" s="3">
        <v>39</v>
      </c>
      <c r="B48" s="3" t="s">
        <v>48</v>
      </c>
      <c r="C48" s="2">
        <v>0</v>
      </c>
      <c r="D48" s="2">
        <v>19864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34381</v>
      </c>
      <c r="K48" s="2">
        <v>0</v>
      </c>
      <c r="L48" s="3">
        <f>SUM(C48:K48)</f>
        <v>54245</v>
      </c>
      <c r="M48" s="3">
        <f t="shared" si="1"/>
        <v>1344686</v>
      </c>
    </row>
    <row r="49" spans="1:13" x14ac:dyDescent="0.3">
      <c r="A49" s="3">
        <v>40</v>
      </c>
      <c r="B49" s="3" t="s">
        <v>49</v>
      </c>
      <c r="C49" s="2">
        <v>0</v>
      </c>
      <c r="D49" s="2">
        <v>4203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25965</v>
      </c>
      <c r="K49" s="2">
        <v>0</v>
      </c>
      <c r="L49" s="3">
        <f>SUM(C49:K49)</f>
        <v>30168</v>
      </c>
      <c r="M49" s="3">
        <f t="shared" si="1"/>
        <v>1374854</v>
      </c>
    </row>
    <row r="50" spans="1:13" x14ac:dyDescent="0.3">
      <c r="A50" s="3">
        <v>41</v>
      </c>
      <c r="B50" s="3" t="s">
        <v>50</v>
      </c>
      <c r="C50" s="2">
        <v>0</v>
      </c>
      <c r="D50" s="2">
        <v>30090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35094</v>
      </c>
      <c r="K50" s="2">
        <v>0</v>
      </c>
      <c r="L50" s="3">
        <f>SUM(C50:K50)</f>
        <v>65184</v>
      </c>
      <c r="M50" s="3">
        <f t="shared" si="1"/>
        <v>1440038</v>
      </c>
    </row>
    <row r="51" spans="1:13" x14ac:dyDescent="0.3">
      <c r="A51" s="3">
        <v>42</v>
      </c>
      <c r="B51" s="3" t="s">
        <v>51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25712</v>
      </c>
      <c r="I51" s="2">
        <v>9449</v>
      </c>
      <c r="J51" s="2">
        <v>67589</v>
      </c>
      <c r="K51" s="2">
        <v>0</v>
      </c>
      <c r="L51" s="3">
        <f>SUM(C51:K51)</f>
        <v>102750</v>
      </c>
      <c r="M51" s="3">
        <f t="shared" si="1"/>
        <v>1542788</v>
      </c>
    </row>
    <row r="52" spans="1:13" x14ac:dyDescent="0.3">
      <c r="A52" s="3">
        <v>43</v>
      </c>
      <c r="B52" s="3" t="s">
        <v>52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13596</v>
      </c>
      <c r="I52" s="2">
        <v>8506</v>
      </c>
      <c r="J52" s="2">
        <v>0</v>
      </c>
      <c r="K52" s="2">
        <v>0</v>
      </c>
      <c r="L52" s="3">
        <f>SUM(C52:K52)</f>
        <v>22102</v>
      </c>
      <c r="M52" s="3">
        <f t="shared" si="1"/>
        <v>1564890</v>
      </c>
    </row>
    <row r="53" spans="1:13" x14ac:dyDescent="0.3">
      <c r="A53" s="3">
        <v>44</v>
      </c>
      <c r="B53" s="3" t="s">
        <v>53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8782</v>
      </c>
      <c r="I53" s="2">
        <v>0</v>
      </c>
      <c r="J53" s="2">
        <v>0</v>
      </c>
      <c r="K53" s="2">
        <v>0</v>
      </c>
      <c r="L53" s="3">
        <f>SUM(C53:K53)</f>
        <v>8782</v>
      </c>
      <c r="M53" s="3">
        <f t="shared" si="1"/>
        <v>1573672</v>
      </c>
    </row>
    <row r="54" spans="1:13" x14ac:dyDescent="0.3">
      <c r="A54" s="3">
        <v>45</v>
      </c>
      <c r="B54" s="3" t="s">
        <v>54</v>
      </c>
      <c r="C54" s="2">
        <v>0</v>
      </c>
      <c r="D54" s="2">
        <v>56331</v>
      </c>
      <c r="E54" s="2">
        <v>0</v>
      </c>
      <c r="F54" s="2">
        <v>0</v>
      </c>
      <c r="G54" s="2">
        <v>8427</v>
      </c>
      <c r="H54" s="2">
        <v>0</v>
      </c>
      <c r="I54" s="2">
        <v>0</v>
      </c>
      <c r="J54" s="2">
        <v>0</v>
      </c>
      <c r="K54" s="2">
        <v>0</v>
      </c>
      <c r="L54" s="3">
        <f>SUM(C54:K54)</f>
        <v>64758</v>
      </c>
      <c r="M54" s="3">
        <f t="shared" si="1"/>
        <v>1638430</v>
      </c>
    </row>
    <row r="55" spans="1:13" x14ac:dyDescent="0.3">
      <c r="A55" s="3">
        <v>46</v>
      </c>
      <c r="B55" s="3" t="s">
        <v>55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3">
        <f>SUM(C55:K55)</f>
        <v>0</v>
      </c>
      <c r="M55" s="3">
        <f t="shared" si="1"/>
        <v>1638430</v>
      </c>
    </row>
    <row r="56" spans="1:13" x14ac:dyDescent="0.3">
      <c r="A56" s="3">
        <v>47</v>
      </c>
      <c r="B56" s="3" t="s">
        <v>56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40324</v>
      </c>
      <c r="K56" s="2">
        <v>0</v>
      </c>
      <c r="L56" s="3">
        <f>SUM(C56:K56)</f>
        <v>40324</v>
      </c>
      <c r="M56" s="3">
        <f t="shared" si="1"/>
        <v>1678754</v>
      </c>
    </row>
    <row r="57" spans="1:13" x14ac:dyDescent="0.3">
      <c r="A57" s="3">
        <v>48</v>
      </c>
      <c r="B57" s="3" t="s">
        <v>57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3">
        <f>SUM(C57:K57)</f>
        <v>0</v>
      </c>
      <c r="M57" s="3">
        <f t="shared" si="1"/>
        <v>1678754</v>
      </c>
    </row>
    <row r="58" spans="1:13" x14ac:dyDescent="0.3">
      <c r="A58" s="3">
        <v>49</v>
      </c>
      <c r="B58" s="3" t="s">
        <v>58</v>
      </c>
      <c r="C58" s="2">
        <v>0</v>
      </c>
      <c r="D58" s="2">
        <v>24663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3">
        <f>SUM(C58:K58)</f>
        <v>24663</v>
      </c>
      <c r="M58" s="3">
        <f t="shared" si="1"/>
        <v>1703417</v>
      </c>
    </row>
    <row r="59" spans="1:13" x14ac:dyDescent="0.3">
      <c r="A59" s="3">
        <v>50</v>
      </c>
      <c r="B59" s="3" t="s">
        <v>59</v>
      </c>
      <c r="C59" s="2">
        <v>0</v>
      </c>
      <c r="D59" s="2">
        <v>40133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19017</v>
      </c>
      <c r="K59" s="2">
        <v>0</v>
      </c>
      <c r="L59" s="3">
        <f>SUM(C59:K59)</f>
        <v>59150</v>
      </c>
      <c r="M59" s="3">
        <f t="shared" si="1"/>
        <v>1762567</v>
      </c>
    </row>
    <row r="60" spans="1:13" x14ac:dyDescent="0.3">
      <c r="A60" s="3">
        <v>51</v>
      </c>
      <c r="B60" s="3" t="s">
        <v>60</v>
      </c>
      <c r="C60" s="2">
        <v>0</v>
      </c>
      <c r="D60" s="2">
        <v>23706</v>
      </c>
      <c r="E60" s="2">
        <v>0</v>
      </c>
      <c r="F60" s="2">
        <v>0</v>
      </c>
      <c r="G60" s="2">
        <v>0</v>
      </c>
      <c r="H60" s="2">
        <v>5000</v>
      </c>
      <c r="I60" s="2">
        <v>0</v>
      </c>
      <c r="J60" s="2">
        <v>19464</v>
      </c>
      <c r="K60" s="2">
        <v>0</v>
      </c>
      <c r="L60" s="3">
        <f>SUM(C60:K60)</f>
        <v>48170</v>
      </c>
      <c r="M60" s="3">
        <f t="shared" si="1"/>
        <v>1810737</v>
      </c>
    </row>
    <row r="61" spans="1:13" x14ac:dyDescent="0.3">
      <c r="A61" s="3">
        <v>52</v>
      </c>
      <c r="B61" s="3" t="s">
        <v>61</v>
      </c>
      <c r="C61" s="2">
        <v>0</v>
      </c>
      <c r="D61" s="2">
        <v>18113</v>
      </c>
      <c r="E61" s="2">
        <v>0</v>
      </c>
      <c r="F61" s="2">
        <v>0</v>
      </c>
      <c r="G61" s="2">
        <v>0</v>
      </c>
      <c r="H61" s="2">
        <v>39575</v>
      </c>
      <c r="I61" s="2">
        <v>0</v>
      </c>
      <c r="J61" s="2">
        <v>50402</v>
      </c>
      <c r="K61" s="2">
        <v>8672</v>
      </c>
      <c r="L61" s="3">
        <f>SUM(C61:K61)</f>
        <v>116762</v>
      </c>
      <c r="M61" s="3">
        <f t="shared" si="1"/>
        <v>1927499</v>
      </c>
    </row>
    <row r="62" spans="1:13" x14ac:dyDescent="0.3">
      <c r="A62" s="3" t="s">
        <v>2</v>
      </c>
      <c r="B62" s="3" t="s">
        <v>62</v>
      </c>
      <c r="C62" s="3">
        <f t="shared" ref="C62:K62" si="2">SUM(C10:C61)</f>
        <v>3899</v>
      </c>
      <c r="D62" s="3">
        <f t="shared" si="2"/>
        <v>390060</v>
      </c>
      <c r="E62" s="3">
        <f t="shared" si="2"/>
        <v>4300</v>
      </c>
      <c r="F62" s="3">
        <f t="shared" si="2"/>
        <v>32441</v>
      </c>
      <c r="G62" s="3">
        <f t="shared" si="2"/>
        <v>137608</v>
      </c>
      <c r="H62" s="3">
        <f t="shared" si="2"/>
        <v>408142</v>
      </c>
      <c r="I62" s="3">
        <f t="shared" si="2"/>
        <v>374147</v>
      </c>
      <c r="J62" s="3">
        <f t="shared" si="2"/>
        <v>544173</v>
      </c>
      <c r="K62" s="3">
        <f t="shared" si="2"/>
        <v>32729</v>
      </c>
      <c r="L62" s="3">
        <f>SUM(L10:L61)</f>
        <v>1927499</v>
      </c>
      <c r="M62" s="3"/>
    </row>
  </sheetData>
  <mergeCells count="3">
    <mergeCell ref="A6:M6"/>
    <mergeCell ref="A7:M7"/>
    <mergeCell ref="A8:M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K62"/>
  <sheetViews>
    <sheetView workbookViewId="0">
      <pane xSplit="2" ySplit="9" topLeftCell="C46" activePane="bottomRight" state="frozen"/>
      <selection pane="topRight" activeCell="C1" sqref="C1"/>
      <selection pane="bottomLeft" activeCell="A10" sqref="A10"/>
      <selection pane="bottomRight" activeCell="K62" sqref="K62"/>
    </sheetView>
  </sheetViews>
  <sheetFormatPr defaultRowHeight="14.4" x14ac:dyDescent="0.3"/>
  <cols>
    <col min="1" max="1" width="10" customWidth="1"/>
    <col min="2" max="2" width="27.5546875" customWidth="1"/>
    <col min="3" max="3" width="13.33203125" customWidth="1"/>
    <col min="4" max="4" width="12.88671875" customWidth="1"/>
    <col min="5" max="5" width="10.21875" customWidth="1"/>
    <col min="6" max="6" width="10" customWidth="1"/>
    <col min="7" max="7" width="12.6640625" customWidth="1"/>
    <col min="8" max="8" width="10" customWidth="1"/>
    <col min="9" max="9" width="23.5546875" customWidth="1"/>
    <col min="10" max="10" width="16.21875" bestFit="1" customWidth="1"/>
    <col min="11" max="11" width="21.77734375" bestFit="1" customWidth="1"/>
  </cols>
  <sheetData>
    <row r="6" spans="1:11" ht="15.6" x14ac:dyDescent="0.3">
      <c r="A6" s="4" t="s">
        <v>74</v>
      </c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ht="15.6" x14ac:dyDescent="0.3">
      <c r="A7" s="4" t="s">
        <v>75</v>
      </c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7" t="s">
        <v>2</v>
      </c>
      <c r="B8" s="8"/>
      <c r="C8" s="8"/>
      <c r="D8" s="8"/>
      <c r="E8" s="8"/>
      <c r="F8" s="8"/>
      <c r="G8" s="8"/>
      <c r="H8" s="8"/>
      <c r="I8" s="8"/>
      <c r="J8" s="8"/>
      <c r="K8" s="9"/>
    </row>
    <row r="9" spans="1:11" x14ac:dyDescent="0.3">
      <c r="A9" s="1"/>
      <c r="B9" s="1" t="s">
        <v>3</v>
      </c>
      <c r="C9" s="1" t="s">
        <v>65</v>
      </c>
      <c r="D9" s="1" t="s">
        <v>66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0" t="s">
        <v>87</v>
      </c>
      <c r="K9" s="10" t="s">
        <v>88</v>
      </c>
    </row>
    <row r="10" spans="1:11" x14ac:dyDescent="0.3">
      <c r="A10" s="3">
        <v>1</v>
      </c>
      <c r="B10" s="3" t="s">
        <v>10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3">
        <f>SUM(C10:I10)</f>
        <v>0</v>
      </c>
      <c r="K10" s="3">
        <f>J10</f>
        <v>0</v>
      </c>
    </row>
    <row r="11" spans="1:11" x14ac:dyDescent="0.3">
      <c r="A11" s="3">
        <v>2</v>
      </c>
      <c r="B11" s="3" t="s">
        <v>11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3437</v>
      </c>
      <c r="I11" s="2">
        <v>0</v>
      </c>
      <c r="J11" s="3">
        <f>SUM(C11:I11)</f>
        <v>3437</v>
      </c>
      <c r="K11" s="3">
        <f t="shared" ref="K11:K42" si="0">J11+K10</f>
        <v>3437</v>
      </c>
    </row>
    <row r="12" spans="1:11" x14ac:dyDescent="0.3">
      <c r="A12" s="3">
        <v>3</v>
      </c>
      <c r="B12" s="3" t="s">
        <v>12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4752</v>
      </c>
      <c r="I12" s="2">
        <v>0</v>
      </c>
      <c r="J12" s="3">
        <f>SUM(C12:I12)</f>
        <v>4752</v>
      </c>
      <c r="K12" s="3">
        <f t="shared" si="0"/>
        <v>8189</v>
      </c>
    </row>
    <row r="13" spans="1:11" x14ac:dyDescent="0.3">
      <c r="A13" s="3">
        <v>4</v>
      </c>
      <c r="B13" s="3" t="s">
        <v>13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13270</v>
      </c>
      <c r="I13" s="2">
        <v>0</v>
      </c>
      <c r="J13" s="3">
        <f>SUM(C13:I13)</f>
        <v>13270</v>
      </c>
      <c r="K13" s="3">
        <f t="shared" si="0"/>
        <v>21459</v>
      </c>
    </row>
    <row r="14" spans="1:11" x14ac:dyDescent="0.3">
      <c r="A14" s="3">
        <v>5</v>
      </c>
      <c r="B14" s="3" t="s">
        <v>14</v>
      </c>
      <c r="C14" s="2">
        <v>0</v>
      </c>
      <c r="D14" s="2">
        <v>0</v>
      </c>
      <c r="E14" s="2">
        <v>0</v>
      </c>
      <c r="F14" s="2">
        <v>0</v>
      </c>
      <c r="G14" s="2">
        <v>1833</v>
      </c>
      <c r="H14" s="2">
        <v>0</v>
      </c>
      <c r="I14" s="2">
        <v>0</v>
      </c>
      <c r="J14" s="3">
        <f>SUM(C14:I14)</f>
        <v>1833</v>
      </c>
      <c r="K14" s="3">
        <f t="shared" si="0"/>
        <v>23292</v>
      </c>
    </row>
    <row r="15" spans="1:11" x14ac:dyDescent="0.3">
      <c r="A15" s="3">
        <v>6</v>
      </c>
      <c r="B15" s="3" t="s">
        <v>15</v>
      </c>
      <c r="C15" s="2">
        <v>0</v>
      </c>
      <c r="D15" s="2">
        <v>0</v>
      </c>
      <c r="E15" s="2">
        <v>0</v>
      </c>
      <c r="F15" s="2">
        <v>0</v>
      </c>
      <c r="G15" s="2">
        <v>3011</v>
      </c>
      <c r="H15" s="2">
        <v>0</v>
      </c>
      <c r="I15" s="2">
        <v>0</v>
      </c>
      <c r="J15" s="3">
        <f>SUM(C15:I15)</f>
        <v>3011</v>
      </c>
      <c r="K15" s="3">
        <f t="shared" si="0"/>
        <v>26303</v>
      </c>
    </row>
    <row r="16" spans="1:11" x14ac:dyDescent="0.3">
      <c r="A16" s="3">
        <v>7</v>
      </c>
      <c r="B16" s="3" t="s">
        <v>16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9675</v>
      </c>
      <c r="I16" s="2">
        <v>0</v>
      </c>
      <c r="J16" s="3">
        <f>SUM(C16:I16)</f>
        <v>9675</v>
      </c>
      <c r="K16" s="3">
        <f t="shared" si="0"/>
        <v>35978</v>
      </c>
    </row>
    <row r="17" spans="1:11" x14ac:dyDescent="0.3">
      <c r="A17" s="3">
        <v>8</v>
      </c>
      <c r="B17" s="3" t="s">
        <v>17</v>
      </c>
      <c r="C17" s="2">
        <v>0</v>
      </c>
      <c r="D17" s="2">
        <v>0</v>
      </c>
      <c r="E17" s="2">
        <v>0</v>
      </c>
      <c r="F17" s="2">
        <v>2992</v>
      </c>
      <c r="G17" s="2">
        <v>0</v>
      </c>
      <c r="H17" s="2">
        <v>0</v>
      </c>
      <c r="I17" s="2">
        <v>0</v>
      </c>
      <c r="J17" s="3">
        <f>SUM(C17:I17)</f>
        <v>2992</v>
      </c>
      <c r="K17" s="3">
        <f t="shared" si="0"/>
        <v>38970</v>
      </c>
    </row>
    <row r="18" spans="1:11" x14ac:dyDescent="0.3">
      <c r="A18" s="3">
        <v>9</v>
      </c>
      <c r="B18" s="3" t="s">
        <v>18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3">
        <f>SUM(C18:I18)</f>
        <v>0</v>
      </c>
      <c r="K18" s="3">
        <f t="shared" si="0"/>
        <v>38970</v>
      </c>
    </row>
    <row r="19" spans="1:11" x14ac:dyDescent="0.3">
      <c r="A19" s="3">
        <v>10</v>
      </c>
      <c r="B19" s="3" t="s">
        <v>19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3">
        <f>SUM(C19:I19)</f>
        <v>0</v>
      </c>
      <c r="K19" s="3">
        <f t="shared" si="0"/>
        <v>38970</v>
      </c>
    </row>
    <row r="20" spans="1:11" x14ac:dyDescent="0.3">
      <c r="A20" s="3">
        <v>11</v>
      </c>
      <c r="B20" s="3" t="s">
        <v>20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3">
        <f>SUM(C20:I20)</f>
        <v>0</v>
      </c>
      <c r="K20" s="3">
        <f t="shared" si="0"/>
        <v>38970</v>
      </c>
    </row>
    <row r="21" spans="1:11" x14ac:dyDescent="0.3">
      <c r="A21" s="3">
        <v>12</v>
      </c>
      <c r="B21" s="3" t="s">
        <v>21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3">
        <f>SUM(C21:I21)</f>
        <v>0</v>
      </c>
      <c r="K21" s="3">
        <f t="shared" si="0"/>
        <v>38970</v>
      </c>
    </row>
    <row r="22" spans="1:11" x14ac:dyDescent="0.3">
      <c r="A22" s="3">
        <v>13</v>
      </c>
      <c r="B22" s="3" t="s">
        <v>22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3">
        <f>SUM(C22:I22)</f>
        <v>0</v>
      </c>
      <c r="K22" s="3">
        <f t="shared" si="0"/>
        <v>38970</v>
      </c>
    </row>
    <row r="23" spans="1:11" x14ac:dyDescent="0.3">
      <c r="A23" s="3">
        <v>14</v>
      </c>
      <c r="B23" s="3" t="s">
        <v>23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3">
        <f>SUM(C23:I23)</f>
        <v>0</v>
      </c>
      <c r="K23" s="3">
        <f t="shared" si="0"/>
        <v>38970</v>
      </c>
    </row>
    <row r="24" spans="1:11" x14ac:dyDescent="0.3">
      <c r="A24" s="3">
        <v>15</v>
      </c>
      <c r="B24" s="3" t="s">
        <v>24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3">
        <f>SUM(C24:I24)</f>
        <v>0</v>
      </c>
      <c r="K24" s="3">
        <f t="shared" si="0"/>
        <v>38970</v>
      </c>
    </row>
    <row r="25" spans="1:11" x14ac:dyDescent="0.3">
      <c r="A25" s="3">
        <v>16</v>
      </c>
      <c r="B25" s="3" t="s">
        <v>25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3">
        <f>SUM(C25:I25)</f>
        <v>0</v>
      </c>
      <c r="K25" s="3">
        <f t="shared" si="0"/>
        <v>38970</v>
      </c>
    </row>
    <row r="26" spans="1:11" x14ac:dyDescent="0.3">
      <c r="A26" s="3">
        <v>17</v>
      </c>
      <c r="B26" s="3" t="s">
        <v>26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3">
        <f>SUM(C26:I26)</f>
        <v>0</v>
      </c>
      <c r="K26" s="3">
        <f t="shared" si="0"/>
        <v>38970</v>
      </c>
    </row>
    <row r="27" spans="1:11" x14ac:dyDescent="0.3">
      <c r="A27" s="3">
        <v>18</v>
      </c>
      <c r="B27" s="3" t="s">
        <v>27</v>
      </c>
      <c r="C27" s="2">
        <v>0</v>
      </c>
      <c r="D27" s="2">
        <v>0</v>
      </c>
      <c r="E27" s="2">
        <v>4953</v>
      </c>
      <c r="F27" s="2">
        <v>0</v>
      </c>
      <c r="G27" s="2">
        <v>0</v>
      </c>
      <c r="H27" s="2">
        <v>0</v>
      </c>
      <c r="I27" s="2">
        <v>0</v>
      </c>
      <c r="J27" s="3">
        <f>SUM(C27:I27)</f>
        <v>4953</v>
      </c>
      <c r="K27" s="3">
        <f t="shared" si="0"/>
        <v>43923</v>
      </c>
    </row>
    <row r="28" spans="1:11" x14ac:dyDescent="0.3">
      <c r="A28" s="3">
        <v>19</v>
      </c>
      <c r="B28" s="3" t="s">
        <v>28</v>
      </c>
      <c r="C28" s="2">
        <v>0</v>
      </c>
      <c r="D28" s="2">
        <v>0</v>
      </c>
      <c r="E28" s="2">
        <v>6516</v>
      </c>
      <c r="F28" s="2">
        <v>0</v>
      </c>
      <c r="G28" s="2">
        <v>0</v>
      </c>
      <c r="H28" s="2">
        <v>0</v>
      </c>
      <c r="I28" s="2">
        <v>0</v>
      </c>
      <c r="J28" s="3">
        <f>SUM(C28:I28)</f>
        <v>6516</v>
      </c>
      <c r="K28" s="3">
        <f t="shared" si="0"/>
        <v>50439</v>
      </c>
    </row>
    <row r="29" spans="1:11" x14ac:dyDescent="0.3">
      <c r="A29" s="3">
        <v>20</v>
      </c>
      <c r="B29" s="3" t="s">
        <v>29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3">
        <f>SUM(C29:I29)</f>
        <v>0</v>
      </c>
      <c r="K29" s="3">
        <f t="shared" si="0"/>
        <v>50439</v>
      </c>
    </row>
    <row r="30" spans="1:11" x14ac:dyDescent="0.3">
      <c r="A30" s="3">
        <v>21</v>
      </c>
      <c r="B30" s="3" t="s">
        <v>30</v>
      </c>
      <c r="C30" s="2">
        <v>0</v>
      </c>
      <c r="D30" s="2">
        <v>0</v>
      </c>
      <c r="E30" s="2">
        <v>0</v>
      </c>
      <c r="F30" s="2">
        <v>0</v>
      </c>
      <c r="G30" s="2">
        <v>3006</v>
      </c>
      <c r="H30" s="2">
        <v>0</v>
      </c>
      <c r="I30" s="2">
        <v>0</v>
      </c>
      <c r="J30" s="3">
        <f>SUM(C30:I30)</f>
        <v>3006</v>
      </c>
      <c r="K30" s="3">
        <f t="shared" si="0"/>
        <v>53445</v>
      </c>
    </row>
    <row r="31" spans="1:11" x14ac:dyDescent="0.3">
      <c r="A31" s="3">
        <v>22</v>
      </c>
      <c r="B31" s="3" t="s">
        <v>31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3">
        <f>SUM(C31:I31)</f>
        <v>0</v>
      </c>
      <c r="K31" s="3">
        <f t="shared" si="0"/>
        <v>53445</v>
      </c>
    </row>
    <row r="32" spans="1:11" x14ac:dyDescent="0.3">
      <c r="A32" s="3">
        <v>23</v>
      </c>
      <c r="B32" s="3" t="s">
        <v>32</v>
      </c>
      <c r="C32" s="2">
        <v>11102</v>
      </c>
      <c r="D32" s="2">
        <v>0</v>
      </c>
      <c r="E32" s="2">
        <v>0</v>
      </c>
      <c r="F32" s="2">
        <v>0</v>
      </c>
      <c r="G32" s="2">
        <v>11964</v>
      </c>
      <c r="H32" s="2">
        <v>0</v>
      </c>
      <c r="I32" s="2">
        <v>0</v>
      </c>
      <c r="J32" s="3">
        <f>SUM(C32:I32)</f>
        <v>23066</v>
      </c>
      <c r="K32" s="3">
        <f t="shared" si="0"/>
        <v>76511</v>
      </c>
    </row>
    <row r="33" spans="1:11" x14ac:dyDescent="0.3">
      <c r="A33" s="3">
        <v>24</v>
      </c>
      <c r="B33" s="3" t="s">
        <v>33</v>
      </c>
      <c r="C33" s="2">
        <v>0</v>
      </c>
      <c r="D33" s="2">
        <v>17176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3">
        <f>SUM(C33:I33)</f>
        <v>17176</v>
      </c>
      <c r="K33" s="3">
        <f t="shared" si="0"/>
        <v>93687</v>
      </c>
    </row>
    <row r="34" spans="1:11" x14ac:dyDescent="0.3">
      <c r="A34" s="3">
        <v>25</v>
      </c>
      <c r="B34" s="3" t="s">
        <v>34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3">
        <f>SUM(C34:I34)</f>
        <v>0</v>
      </c>
      <c r="K34" s="3">
        <f t="shared" si="0"/>
        <v>93687</v>
      </c>
    </row>
    <row r="35" spans="1:11" x14ac:dyDescent="0.3">
      <c r="A35" s="3">
        <v>26</v>
      </c>
      <c r="B35" s="3" t="s">
        <v>35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3">
        <f>SUM(C35:I35)</f>
        <v>0</v>
      </c>
      <c r="K35" s="3">
        <f t="shared" si="0"/>
        <v>93687</v>
      </c>
    </row>
    <row r="36" spans="1:11" x14ac:dyDescent="0.3">
      <c r="A36" s="3">
        <v>27</v>
      </c>
      <c r="B36" s="3" t="s">
        <v>36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3">
        <f>SUM(C36:I36)</f>
        <v>0</v>
      </c>
      <c r="K36" s="3">
        <f t="shared" si="0"/>
        <v>93687</v>
      </c>
    </row>
    <row r="37" spans="1:11" x14ac:dyDescent="0.3">
      <c r="A37" s="3">
        <v>28</v>
      </c>
      <c r="B37" s="3" t="s">
        <v>37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3">
        <f>SUM(C37:I37)</f>
        <v>0</v>
      </c>
      <c r="K37" s="3">
        <f t="shared" si="0"/>
        <v>93687</v>
      </c>
    </row>
    <row r="38" spans="1:11" x14ac:dyDescent="0.3">
      <c r="A38" s="3">
        <v>29</v>
      </c>
      <c r="B38" s="3" t="s">
        <v>38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3">
        <f>SUM(C38:I38)</f>
        <v>0</v>
      </c>
      <c r="K38" s="3">
        <f t="shared" si="0"/>
        <v>93687</v>
      </c>
    </row>
    <row r="39" spans="1:11" x14ac:dyDescent="0.3">
      <c r="A39" s="3">
        <v>30</v>
      </c>
      <c r="B39" s="3" t="s">
        <v>39</v>
      </c>
      <c r="C39" s="2">
        <v>0</v>
      </c>
      <c r="D39" s="2">
        <v>0</v>
      </c>
      <c r="E39" s="2">
        <v>0</v>
      </c>
      <c r="F39" s="2">
        <v>0</v>
      </c>
      <c r="G39" s="2">
        <v>9878</v>
      </c>
      <c r="H39" s="2">
        <v>0</v>
      </c>
      <c r="I39" s="2">
        <v>0</v>
      </c>
      <c r="J39" s="3">
        <f>SUM(C39:I39)</f>
        <v>9878</v>
      </c>
      <c r="K39" s="3">
        <f t="shared" si="0"/>
        <v>103565</v>
      </c>
    </row>
    <row r="40" spans="1:11" x14ac:dyDescent="0.3">
      <c r="A40" s="3">
        <v>31</v>
      </c>
      <c r="B40" s="3" t="s">
        <v>40</v>
      </c>
      <c r="C40" s="2">
        <v>0</v>
      </c>
      <c r="D40" s="2">
        <v>0</v>
      </c>
      <c r="E40" s="2">
        <v>0</v>
      </c>
      <c r="F40" s="2">
        <v>0</v>
      </c>
      <c r="G40" s="2">
        <v>6978</v>
      </c>
      <c r="H40" s="2">
        <v>0</v>
      </c>
      <c r="I40" s="2">
        <v>0</v>
      </c>
      <c r="J40" s="3">
        <f>SUM(C40:I40)</f>
        <v>6978</v>
      </c>
      <c r="K40" s="3">
        <f t="shared" si="0"/>
        <v>110543</v>
      </c>
    </row>
    <row r="41" spans="1:11" x14ac:dyDescent="0.3">
      <c r="A41" s="3">
        <v>32</v>
      </c>
      <c r="B41" s="3" t="s">
        <v>41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3">
        <f>SUM(C41:I41)</f>
        <v>0</v>
      </c>
      <c r="K41" s="3">
        <f t="shared" si="0"/>
        <v>110543</v>
      </c>
    </row>
    <row r="42" spans="1:11" x14ac:dyDescent="0.3">
      <c r="A42" s="3">
        <v>33</v>
      </c>
      <c r="B42" s="3" t="s">
        <v>42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1082</v>
      </c>
      <c r="I42" s="2">
        <v>0</v>
      </c>
      <c r="J42" s="3">
        <f>SUM(C42:I42)</f>
        <v>1082</v>
      </c>
      <c r="K42" s="3">
        <f t="shared" si="0"/>
        <v>111625</v>
      </c>
    </row>
    <row r="43" spans="1:11" x14ac:dyDescent="0.3">
      <c r="A43" s="3">
        <v>34</v>
      </c>
      <c r="B43" s="3" t="s">
        <v>43</v>
      </c>
      <c r="C43" s="2">
        <v>0</v>
      </c>
      <c r="D43" s="2">
        <v>0</v>
      </c>
      <c r="E43" s="2">
        <v>0</v>
      </c>
      <c r="F43" s="2">
        <v>0</v>
      </c>
      <c r="G43" s="2">
        <v>1422</v>
      </c>
      <c r="H43" s="2">
        <v>4917</v>
      </c>
      <c r="I43" s="2">
        <v>0</v>
      </c>
      <c r="J43" s="3">
        <f>SUM(C43:I43)</f>
        <v>6339</v>
      </c>
      <c r="K43" s="3">
        <f t="shared" ref="K43:K74" si="1">J43+K42</f>
        <v>117964</v>
      </c>
    </row>
    <row r="44" spans="1:11" x14ac:dyDescent="0.3">
      <c r="A44" s="3">
        <v>35</v>
      </c>
      <c r="B44" s="3" t="s">
        <v>44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3">
        <f>SUM(C44:I44)</f>
        <v>0</v>
      </c>
      <c r="K44" s="3">
        <f t="shared" si="1"/>
        <v>117964</v>
      </c>
    </row>
    <row r="45" spans="1:11" x14ac:dyDescent="0.3">
      <c r="A45" s="3">
        <v>36</v>
      </c>
      <c r="B45" s="3" t="s">
        <v>45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3">
        <f>SUM(C45:I45)</f>
        <v>0</v>
      </c>
      <c r="K45" s="3">
        <f t="shared" si="1"/>
        <v>117964</v>
      </c>
    </row>
    <row r="46" spans="1:11" x14ac:dyDescent="0.3">
      <c r="A46" s="3">
        <v>37</v>
      </c>
      <c r="B46" s="3" t="s">
        <v>46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4000</v>
      </c>
      <c r="J46" s="3">
        <f>SUM(C46:I46)</f>
        <v>4000</v>
      </c>
      <c r="K46" s="3">
        <f t="shared" si="1"/>
        <v>121964</v>
      </c>
    </row>
    <row r="47" spans="1:11" x14ac:dyDescent="0.3">
      <c r="A47" s="3">
        <v>38</v>
      </c>
      <c r="B47" s="3" t="s">
        <v>47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4033</v>
      </c>
      <c r="J47" s="3">
        <f>SUM(C47:I47)</f>
        <v>4033</v>
      </c>
      <c r="K47" s="3">
        <f t="shared" si="1"/>
        <v>125997</v>
      </c>
    </row>
    <row r="48" spans="1:11" x14ac:dyDescent="0.3">
      <c r="A48" s="3">
        <v>39</v>
      </c>
      <c r="B48" s="3" t="s">
        <v>48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5280</v>
      </c>
      <c r="J48" s="3">
        <f>SUM(C48:I48)</f>
        <v>5280</v>
      </c>
      <c r="K48" s="3">
        <f t="shared" si="1"/>
        <v>131277</v>
      </c>
    </row>
    <row r="49" spans="1:11" x14ac:dyDescent="0.3">
      <c r="A49" s="3">
        <v>40</v>
      </c>
      <c r="B49" s="3" t="s">
        <v>49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6020</v>
      </c>
      <c r="J49" s="3">
        <f>SUM(C49:I49)</f>
        <v>6020</v>
      </c>
      <c r="K49" s="3">
        <f t="shared" si="1"/>
        <v>137297</v>
      </c>
    </row>
    <row r="50" spans="1:11" x14ac:dyDescent="0.3">
      <c r="A50" s="3">
        <v>41</v>
      </c>
      <c r="B50" s="3" t="s">
        <v>50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6543</v>
      </c>
      <c r="J50" s="3">
        <f>SUM(C50:I50)</f>
        <v>6543</v>
      </c>
      <c r="K50" s="3">
        <f t="shared" si="1"/>
        <v>143840</v>
      </c>
    </row>
    <row r="51" spans="1:11" x14ac:dyDescent="0.3">
      <c r="A51" s="3">
        <v>42</v>
      </c>
      <c r="B51" s="3" t="s">
        <v>51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6680</v>
      </c>
      <c r="I51" s="2">
        <v>4471</v>
      </c>
      <c r="J51" s="3">
        <f>SUM(C51:I51)</f>
        <v>11151</v>
      </c>
      <c r="K51" s="3">
        <f t="shared" si="1"/>
        <v>154991</v>
      </c>
    </row>
    <row r="52" spans="1:11" x14ac:dyDescent="0.3">
      <c r="A52" s="3">
        <v>43</v>
      </c>
      <c r="B52" s="3" t="s">
        <v>52</v>
      </c>
      <c r="C52" s="2">
        <v>0</v>
      </c>
      <c r="D52" s="2">
        <v>0</v>
      </c>
      <c r="E52" s="2">
        <v>0</v>
      </c>
      <c r="F52" s="2">
        <v>0</v>
      </c>
      <c r="G52" s="2">
        <v>6918</v>
      </c>
      <c r="H52" s="2">
        <v>29980</v>
      </c>
      <c r="I52" s="2">
        <v>0</v>
      </c>
      <c r="J52" s="3">
        <f>SUM(C52:I52)</f>
        <v>36898</v>
      </c>
      <c r="K52" s="3">
        <f t="shared" si="1"/>
        <v>191889</v>
      </c>
    </row>
    <row r="53" spans="1:11" x14ac:dyDescent="0.3">
      <c r="A53" s="3">
        <v>44</v>
      </c>
      <c r="B53" s="3" t="s">
        <v>53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3">
        <f>SUM(C53:I53)</f>
        <v>0</v>
      </c>
      <c r="K53" s="3">
        <f t="shared" si="1"/>
        <v>191889</v>
      </c>
    </row>
    <row r="54" spans="1:11" x14ac:dyDescent="0.3">
      <c r="A54" s="3">
        <v>45</v>
      </c>
      <c r="B54" s="3" t="s">
        <v>54</v>
      </c>
      <c r="C54" s="2">
        <v>0</v>
      </c>
      <c r="D54" s="2">
        <v>0</v>
      </c>
      <c r="E54" s="2">
        <v>0</v>
      </c>
      <c r="F54" s="2">
        <v>4524</v>
      </c>
      <c r="G54" s="2">
        <v>0</v>
      </c>
      <c r="H54" s="2">
        <v>0</v>
      </c>
      <c r="I54" s="2">
        <v>0</v>
      </c>
      <c r="J54" s="3">
        <f>SUM(C54:I54)</f>
        <v>4524</v>
      </c>
      <c r="K54" s="3">
        <f t="shared" si="1"/>
        <v>196413</v>
      </c>
    </row>
    <row r="55" spans="1:11" x14ac:dyDescent="0.3">
      <c r="A55" s="3">
        <v>46</v>
      </c>
      <c r="B55" s="3" t="s">
        <v>55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3">
        <f>SUM(C55:I55)</f>
        <v>0</v>
      </c>
      <c r="K55" s="3">
        <f t="shared" si="1"/>
        <v>196413</v>
      </c>
    </row>
    <row r="56" spans="1:11" x14ac:dyDescent="0.3">
      <c r="A56" s="3">
        <v>47</v>
      </c>
      <c r="B56" s="3" t="s">
        <v>56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13535</v>
      </c>
      <c r="J56" s="3">
        <f>SUM(C56:I56)</f>
        <v>13535</v>
      </c>
      <c r="K56" s="3">
        <f t="shared" si="1"/>
        <v>209948</v>
      </c>
    </row>
    <row r="57" spans="1:11" x14ac:dyDescent="0.3">
      <c r="A57" s="3">
        <v>48</v>
      </c>
      <c r="B57" s="3" t="s">
        <v>57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3">
        <f>SUM(C57:I57)</f>
        <v>0</v>
      </c>
      <c r="K57" s="3">
        <f t="shared" si="1"/>
        <v>209948</v>
      </c>
    </row>
    <row r="58" spans="1:11" x14ac:dyDescent="0.3">
      <c r="A58" s="3">
        <v>49</v>
      </c>
      <c r="B58" s="3" t="s">
        <v>58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3">
        <f>SUM(C58:I58)</f>
        <v>0</v>
      </c>
      <c r="K58" s="3">
        <f t="shared" si="1"/>
        <v>209948</v>
      </c>
    </row>
    <row r="59" spans="1:11" x14ac:dyDescent="0.3">
      <c r="A59" s="3">
        <v>50</v>
      </c>
      <c r="B59" s="3" t="s">
        <v>59</v>
      </c>
      <c r="C59" s="2">
        <v>0</v>
      </c>
      <c r="D59" s="2">
        <v>2211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3">
        <f>SUM(C59:I59)</f>
        <v>2211</v>
      </c>
      <c r="K59" s="3">
        <f t="shared" si="1"/>
        <v>212159</v>
      </c>
    </row>
    <row r="60" spans="1:11" x14ac:dyDescent="0.3">
      <c r="A60" s="3">
        <v>51</v>
      </c>
      <c r="B60" s="3" t="s">
        <v>60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3">
        <f>SUM(C60:I60)</f>
        <v>0</v>
      </c>
      <c r="K60" s="3">
        <f t="shared" si="1"/>
        <v>212159</v>
      </c>
    </row>
    <row r="61" spans="1:11" x14ac:dyDescent="0.3">
      <c r="A61" s="3">
        <v>52</v>
      </c>
      <c r="B61" s="3" t="s">
        <v>61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3">
        <f>SUM(C61:I61)</f>
        <v>0</v>
      </c>
      <c r="K61" s="3">
        <f t="shared" si="1"/>
        <v>212159</v>
      </c>
    </row>
    <row r="62" spans="1:11" x14ac:dyDescent="0.3">
      <c r="A62" s="3" t="s">
        <v>2</v>
      </c>
      <c r="B62" s="3" t="s">
        <v>62</v>
      </c>
      <c r="C62" s="3">
        <f t="shared" ref="C62:I62" si="2">SUM(C10:C61)</f>
        <v>11102</v>
      </c>
      <c r="D62" s="3">
        <f t="shared" si="2"/>
        <v>19387</v>
      </c>
      <c r="E62" s="3">
        <f t="shared" si="2"/>
        <v>11469</v>
      </c>
      <c r="F62" s="3">
        <f t="shared" si="2"/>
        <v>7516</v>
      </c>
      <c r="G62" s="3">
        <f t="shared" si="2"/>
        <v>45010</v>
      </c>
      <c r="H62" s="3">
        <f t="shared" si="2"/>
        <v>73793</v>
      </c>
      <c r="I62" s="3">
        <f t="shared" si="2"/>
        <v>43882</v>
      </c>
      <c r="J62" s="3">
        <f>SUM(J10:J61)</f>
        <v>212159</v>
      </c>
      <c r="K62" s="3"/>
    </row>
  </sheetData>
  <mergeCells count="3">
    <mergeCell ref="A6:K6"/>
    <mergeCell ref="A7:K7"/>
    <mergeCell ref="A8:K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6:I62"/>
  <sheetViews>
    <sheetView workbookViewId="0">
      <pane xSplit="2" ySplit="9" topLeftCell="C58" activePane="bottomRight" state="frozen"/>
      <selection pane="topRight" activeCell="C1" sqref="C1"/>
      <selection pane="bottomLeft" activeCell="A10" sqref="A10"/>
      <selection pane="bottomRight" activeCell="I62" sqref="I62"/>
    </sheetView>
  </sheetViews>
  <sheetFormatPr defaultRowHeight="14.4" x14ac:dyDescent="0.3"/>
  <cols>
    <col min="1" max="1" width="10" customWidth="1"/>
    <col min="2" max="2" width="27.5546875" customWidth="1"/>
    <col min="3" max="3" width="12.77734375" customWidth="1"/>
    <col min="4" max="4" width="25.21875" customWidth="1"/>
    <col min="5" max="5" width="10.88671875" customWidth="1"/>
    <col min="6" max="6" width="10" customWidth="1"/>
    <col min="7" max="7" width="12.5546875" customWidth="1"/>
    <col min="8" max="8" width="16.21875" bestFit="1" customWidth="1"/>
    <col min="9" max="9" width="21.77734375" bestFit="1" customWidth="1"/>
  </cols>
  <sheetData>
    <row r="6" spans="1:9" ht="15.6" x14ac:dyDescent="0.3">
      <c r="A6" s="4" t="s">
        <v>76</v>
      </c>
      <c r="B6" s="5"/>
      <c r="C6" s="5"/>
      <c r="D6" s="5"/>
      <c r="E6" s="5"/>
      <c r="F6" s="5"/>
      <c r="G6" s="5"/>
      <c r="H6" s="5"/>
      <c r="I6" s="6"/>
    </row>
    <row r="7" spans="1:9" ht="15.6" x14ac:dyDescent="0.3">
      <c r="A7" s="4" t="s">
        <v>77</v>
      </c>
      <c r="B7" s="5"/>
      <c r="C7" s="5"/>
      <c r="D7" s="5"/>
      <c r="E7" s="5"/>
      <c r="F7" s="5"/>
      <c r="G7" s="5"/>
      <c r="H7" s="5"/>
      <c r="I7" s="6"/>
    </row>
    <row r="8" spans="1:9" x14ac:dyDescent="0.3">
      <c r="A8" s="7" t="s">
        <v>2</v>
      </c>
      <c r="B8" s="8"/>
      <c r="C8" s="8"/>
      <c r="D8" s="8"/>
      <c r="E8" s="8"/>
      <c r="F8" s="8"/>
      <c r="G8" s="8"/>
      <c r="H8" s="8"/>
      <c r="I8" s="9"/>
    </row>
    <row r="9" spans="1:9" x14ac:dyDescent="0.3">
      <c r="A9" s="1"/>
      <c r="B9" s="1" t="s">
        <v>3</v>
      </c>
      <c r="C9" s="1" t="s">
        <v>4</v>
      </c>
      <c r="D9" s="1" t="s">
        <v>78</v>
      </c>
      <c r="E9" s="1" t="s">
        <v>6</v>
      </c>
      <c r="F9" s="1" t="s">
        <v>8</v>
      </c>
      <c r="G9" s="1" t="s">
        <v>9</v>
      </c>
      <c r="H9" s="10" t="s">
        <v>87</v>
      </c>
      <c r="I9" s="10" t="s">
        <v>88</v>
      </c>
    </row>
    <row r="10" spans="1:9" x14ac:dyDescent="0.3">
      <c r="A10" s="3">
        <v>1</v>
      </c>
      <c r="B10" s="3" t="s">
        <v>10</v>
      </c>
      <c r="C10" s="2">
        <v>1977</v>
      </c>
      <c r="D10" s="2">
        <v>877</v>
      </c>
      <c r="E10" s="2">
        <v>112</v>
      </c>
      <c r="F10" s="2">
        <v>0</v>
      </c>
      <c r="G10" s="2">
        <v>259</v>
      </c>
      <c r="H10" s="3">
        <f>SUM(C10:G10)</f>
        <v>3225</v>
      </c>
      <c r="I10" s="3">
        <f>H10</f>
        <v>3225</v>
      </c>
    </row>
    <row r="11" spans="1:9" x14ac:dyDescent="0.3">
      <c r="A11" s="3">
        <v>2</v>
      </c>
      <c r="B11" s="3" t="s">
        <v>11</v>
      </c>
      <c r="C11" s="2">
        <v>1569</v>
      </c>
      <c r="D11" s="2">
        <v>1098</v>
      </c>
      <c r="E11" s="2">
        <v>1295</v>
      </c>
      <c r="F11" s="2">
        <v>0</v>
      </c>
      <c r="G11" s="2">
        <v>677</v>
      </c>
      <c r="H11" s="3">
        <f>SUM(C11:G11)</f>
        <v>4639</v>
      </c>
      <c r="I11" s="3">
        <f t="shared" ref="I11:I42" si="0">H11+I10</f>
        <v>7864</v>
      </c>
    </row>
    <row r="12" spans="1:9" x14ac:dyDescent="0.3">
      <c r="A12" s="3">
        <v>3</v>
      </c>
      <c r="B12" s="3" t="s">
        <v>12</v>
      </c>
      <c r="C12" s="2">
        <v>2973</v>
      </c>
      <c r="D12" s="2">
        <v>2087</v>
      </c>
      <c r="E12" s="2">
        <v>2111</v>
      </c>
      <c r="F12" s="2">
        <v>0</v>
      </c>
      <c r="G12" s="2">
        <v>169</v>
      </c>
      <c r="H12" s="3">
        <f>SUM(C12:G12)</f>
        <v>7340</v>
      </c>
      <c r="I12" s="3">
        <f t="shared" si="0"/>
        <v>15204</v>
      </c>
    </row>
    <row r="13" spans="1:9" x14ac:dyDescent="0.3">
      <c r="A13" s="3">
        <v>4</v>
      </c>
      <c r="B13" s="3" t="s">
        <v>13</v>
      </c>
      <c r="C13" s="2">
        <v>2464</v>
      </c>
      <c r="D13" s="2">
        <v>1505</v>
      </c>
      <c r="E13" s="2">
        <v>2441</v>
      </c>
      <c r="F13" s="2">
        <v>0</v>
      </c>
      <c r="G13" s="2">
        <v>351</v>
      </c>
      <c r="H13" s="3">
        <f>SUM(C13:G13)</f>
        <v>6761</v>
      </c>
      <c r="I13" s="3">
        <f t="shared" si="0"/>
        <v>21965</v>
      </c>
    </row>
    <row r="14" spans="1:9" x14ac:dyDescent="0.3">
      <c r="A14" s="3">
        <v>5</v>
      </c>
      <c r="B14" s="3" t="s">
        <v>14</v>
      </c>
      <c r="C14" s="2">
        <v>1712</v>
      </c>
      <c r="D14" s="2">
        <v>621</v>
      </c>
      <c r="E14" s="2">
        <v>1970</v>
      </c>
      <c r="F14" s="2">
        <v>0</v>
      </c>
      <c r="G14" s="2">
        <v>668</v>
      </c>
      <c r="H14" s="3">
        <f>SUM(C14:G14)</f>
        <v>4971</v>
      </c>
      <c r="I14" s="3">
        <f t="shared" si="0"/>
        <v>26936</v>
      </c>
    </row>
    <row r="15" spans="1:9" x14ac:dyDescent="0.3">
      <c r="A15" s="3">
        <v>6</v>
      </c>
      <c r="B15" s="3" t="s">
        <v>15</v>
      </c>
      <c r="C15" s="2">
        <v>252</v>
      </c>
      <c r="D15" s="2">
        <v>2048</v>
      </c>
      <c r="E15" s="2">
        <v>2192</v>
      </c>
      <c r="F15" s="2">
        <v>0</v>
      </c>
      <c r="G15" s="2">
        <v>800</v>
      </c>
      <c r="H15" s="3">
        <f>SUM(C15:G15)</f>
        <v>5292</v>
      </c>
      <c r="I15" s="3">
        <f t="shared" si="0"/>
        <v>32228</v>
      </c>
    </row>
    <row r="16" spans="1:9" x14ac:dyDescent="0.3">
      <c r="A16" s="3">
        <v>7</v>
      </c>
      <c r="B16" s="3" t="s">
        <v>16</v>
      </c>
      <c r="C16" s="2">
        <v>815</v>
      </c>
      <c r="D16" s="2">
        <v>999</v>
      </c>
      <c r="E16" s="2">
        <v>1583</v>
      </c>
      <c r="F16" s="2">
        <v>0</v>
      </c>
      <c r="G16" s="2">
        <v>979</v>
      </c>
      <c r="H16" s="3">
        <f>SUM(C16:G16)</f>
        <v>4376</v>
      </c>
      <c r="I16" s="3">
        <f t="shared" si="0"/>
        <v>36604</v>
      </c>
    </row>
    <row r="17" spans="1:9" x14ac:dyDescent="0.3">
      <c r="A17" s="3">
        <v>8</v>
      </c>
      <c r="B17" s="3" t="s">
        <v>17</v>
      </c>
      <c r="C17" s="2">
        <v>1191</v>
      </c>
      <c r="D17" s="2">
        <v>779</v>
      </c>
      <c r="E17" s="2">
        <v>1251</v>
      </c>
      <c r="F17" s="2">
        <v>0</v>
      </c>
      <c r="G17" s="2">
        <v>710</v>
      </c>
      <c r="H17" s="3">
        <f>SUM(C17:G17)</f>
        <v>3931</v>
      </c>
      <c r="I17" s="3">
        <f t="shared" si="0"/>
        <v>40535</v>
      </c>
    </row>
    <row r="18" spans="1:9" x14ac:dyDescent="0.3">
      <c r="A18" s="3">
        <v>9</v>
      </c>
      <c r="B18" s="3" t="s">
        <v>18</v>
      </c>
      <c r="C18" s="2">
        <v>1725</v>
      </c>
      <c r="D18" s="2">
        <v>728</v>
      </c>
      <c r="E18" s="2">
        <v>950</v>
      </c>
      <c r="F18" s="2">
        <v>0</v>
      </c>
      <c r="G18" s="2">
        <v>98</v>
      </c>
      <c r="H18" s="3">
        <f>SUM(C18:G18)</f>
        <v>3501</v>
      </c>
      <c r="I18" s="3">
        <f t="shared" si="0"/>
        <v>44036</v>
      </c>
    </row>
    <row r="19" spans="1:9" x14ac:dyDescent="0.3">
      <c r="A19" s="3">
        <v>10</v>
      </c>
      <c r="B19" s="3" t="s">
        <v>19</v>
      </c>
      <c r="C19" s="2">
        <v>1575</v>
      </c>
      <c r="D19" s="2">
        <v>1212</v>
      </c>
      <c r="E19" s="2">
        <v>1427</v>
      </c>
      <c r="F19" s="2">
        <v>0</v>
      </c>
      <c r="G19" s="2">
        <v>148</v>
      </c>
      <c r="H19" s="3">
        <f>SUM(C19:G19)</f>
        <v>4362</v>
      </c>
      <c r="I19" s="3">
        <f t="shared" si="0"/>
        <v>48398</v>
      </c>
    </row>
    <row r="20" spans="1:9" x14ac:dyDescent="0.3">
      <c r="A20" s="3">
        <v>11</v>
      </c>
      <c r="B20" s="3" t="s">
        <v>20</v>
      </c>
      <c r="C20" s="2">
        <v>309</v>
      </c>
      <c r="D20" s="2">
        <v>1206</v>
      </c>
      <c r="E20" s="2">
        <v>1185</v>
      </c>
      <c r="F20" s="2">
        <v>0</v>
      </c>
      <c r="G20" s="2">
        <v>0</v>
      </c>
      <c r="H20" s="3">
        <f>SUM(C20:G20)</f>
        <v>2700</v>
      </c>
      <c r="I20" s="3">
        <f t="shared" si="0"/>
        <v>51098</v>
      </c>
    </row>
    <row r="21" spans="1:9" x14ac:dyDescent="0.3">
      <c r="A21" s="3">
        <v>12</v>
      </c>
      <c r="B21" s="3" t="s">
        <v>21</v>
      </c>
      <c r="C21" s="2">
        <v>0</v>
      </c>
      <c r="D21" s="2">
        <v>2355</v>
      </c>
      <c r="E21" s="2">
        <v>1240</v>
      </c>
      <c r="F21" s="2">
        <v>0</v>
      </c>
      <c r="G21" s="2">
        <v>0</v>
      </c>
      <c r="H21" s="3">
        <f>SUM(C21:G21)</f>
        <v>3595</v>
      </c>
      <c r="I21" s="3">
        <f t="shared" si="0"/>
        <v>54693</v>
      </c>
    </row>
    <row r="22" spans="1:9" x14ac:dyDescent="0.3">
      <c r="A22" s="3">
        <v>13</v>
      </c>
      <c r="B22" s="3" t="s">
        <v>22</v>
      </c>
      <c r="C22" s="2">
        <v>0</v>
      </c>
      <c r="D22" s="2">
        <v>844</v>
      </c>
      <c r="E22" s="2">
        <v>327</v>
      </c>
      <c r="F22" s="2">
        <v>0</v>
      </c>
      <c r="G22" s="2">
        <v>177</v>
      </c>
      <c r="H22" s="3">
        <f>SUM(C22:G22)</f>
        <v>1348</v>
      </c>
      <c r="I22" s="3">
        <f t="shared" si="0"/>
        <v>56041</v>
      </c>
    </row>
    <row r="23" spans="1:9" x14ac:dyDescent="0.3">
      <c r="A23" s="3">
        <v>14</v>
      </c>
      <c r="B23" s="3" t="s">
        <v>23</v>
      </c>
      <c r="C23" s="2">
        <v>0</v>
      </c>
      <c r="D23" s="2">
        <v>852</v>
      </c>
      <c r="E23" s="2">
        <v>566</v>
      </c>
      <c r="F23" s="2">
        <v>0</v>
      </c>
      <c r="G23" s="2">
        <v>309</v>
      </c>
      <c r="H23" s="3">
        <f>SUM(C23:G23)</f>
        <v>1727</v>
      </c>
      <c r="I23" s="3">
        <f t="shared" si="0"/>
        <v>57768</v>
      </c>
    </row>
    <row r="24" spans="1:9" x14ac:dyDescent="0.3">
      <c r="A24" s="3">
        <v>15</v>
      </c>
      <c r="B24" s="3" t="s">
        <v>24</v>
      </c>
      <c r="C24" s="2">
        <v>0</v>
      </c>
      <c r="D24" s="2">
        <v>1097</v>
      </c>
      <c r="E24" s="2">
        <v>192</v>
      </c>
      <c r="F24" s="2">
        <v>0</v>
      </c>
      <c r="G24" s="2">
        <v>519</v>
      </c>
      <c r="H24" s="3">
        <f>SUM(C24:G24)</f>
        <v>1808</v>
      </c>
      <c r="I24" s="3">
        <f t="shared" si="0"/>
        <v>59576</v>
      </c>
    </row>
    <row r="25" spans="1:9" x14ac:dyDescent="0.3">
      <c r="A25" s="3">
        <v>16</v>
      </c>
      <c r="B25" s="3" t="s">
        <v>25</v>
      </c>
      <c r="C25" s="2">
        <v>0</v>
      </c>
      <c r="D25" s="2">
        <v>703</v>
      </c>
      <c r="E25" s="2">
        <v>1021</v>
      </c>
      <c r="F25" s="2">
        <v>0</v>
      </c>
      <c r="G25" s="2">
        <v>280</v>
      </c>
      <c r="H25" s="3">
        <f>SUM(C25:G25)</f>
        <v>2004</v>
      </c>
      <c r="I25" s="3">
        <f t="shared" si="0"/>
        <v>61580</v>
      </c>
    </row>
    <row r="26" spans="1:9" x14ac:dyDescent="0.3">
      <c r="A26" s="3">
        <v>17</v>
      </c>
      <c r="B26" s="3" t="s">
        <v>26</v>
      </c>
      <c r="C26" s="2">
        <v>0</v>
      </c>
      <c r="D26" s="2">
        <v>1392</v>
      </c>
      <c r="E26" s="2">
        <v>594</v>
      </c>
      <c r="F26" s="2">
        <v>0</v>
      </c>
      <c r="G26" s="2">
        <v>1149</v>
      </c>
      <c r="H26" s="3">
        <f>SUM(C26:G26)</f>
        <v>3135</v>
      </c>
      <c r="I26" s="3">
        <f t="shared" si="0"/>
        <v>64715</v>
      </c>
    </row>
    <row r="27" spans="1:9" x14ac:dyDescent="0.3">
      <c r="A27" s="3">
        <v>18</v>
      </c>
      <c r="B27" s="3" t="s">
        <v>27</v>
      </c>
      <c r="C27" s="2">
        <v>0</v>
      </c>
      <c r="D27" s="2">
        <v>1142</v>
      </c>
      <c r="E27" s="2">
        <v>0</v>
      </c>
      <c r="F27" s="2">
        <v>0</v>
      </c>
      <c r="G27" s="2">
        <v>70</v>
      </c>
      <c r="H27" s="3">
        <f>SUM(C27:G27)</f>
        <v>1212</v>
      </c>
      <c r="I27" s="3">
        <f t="shared" si="0"/>
        <v>65927</v>
      </c>
    </row>
    <row r="28" spans="1:9" x14ac:dyDescent="0.3">
      <c r="A28" s="3">
        <v>19</v>
      </c>
      <c r="B28" s="3" t="s">
        <v>28</v>
      </c>
      <c r="C28" s="2">
        <v>0</v>
      </c>
      <c r="D28" s="2">
        <v>1504</v>
      </c>
      <c r="E28" s="2">
        <v>0</v>
      </c>
      <c r="F28" s="2">
        <v>0</v>
      </c>
      <c r="G28" s="2">
        <v>0</v>
      </c>
      <c r="H28" s="3">
        <f>SUM(C28:G28)</f>
        <v>1504</v>
      </c>
      <c r="I28" s="3">
        <f t="shared" si="0"/>
        <v>67431</v>
      </c>
    </row>
    <row r="29" spans="1:9" x14ac:dyDescent="0.3">
      <c r="A29" s="3">
        <v>20</v>
      </c>
      <c r="B29" s="3" t="s">
        <v>29</v>
      </c>
      <c r="C29" s="2">
        <v>0</v>
      </c>
      <c r="D29" s="2">
        <v>1797</v>
      </c>
      <c r="E29" s="2">
        <v>0</v>
      </c>
      <c r="F29" s="2">
        <v>0</v>
      </c>
      <c r="G29" s="2">
        <v>0</v>
      </c>
      <c r="H29" s="3">
        <f>SUM(C29:G29)</f>
        <v>1797</v>
      </c>
      <c r="I29" s="3">
        <f t="shared" si="0"/>
        <v>69228</v>
      </c>
    </row>
    <row r="30" spans="1:9" x14ac:dyDescent="0.3">
      <c r="A30" s="3">
        <v>21</v>
      </c>
      <c r="B30" s="3" t="s">
        <v>30</v>
      </c>
      <c r="C30" s="2">
        <v>664</v>
      </c>
      <c r="D30" s="2">
        <v>1701</v>
      </c>
      <c r="E30" s="2">
        <v>0</v>
      </c>
      <c r="F30" s="2">
        <v>0</v>
      </c>
      <c r="G30" s="2">
        <v>0</v>
      </c>
      <c r="H30" s="3">
        <f>SUM(C30:G30)</f>
        <v>2365</v>
      </c>
      <c r="I30" s="3">
        <f t="shared" si="0"/>
        <v>71593</v>
      </c>
    </row>
    <row r="31" spans="1:9" x14ac:dyDescent="0.3">
      <c r="A31" s="3">
        <v>22</v>
      </c>
      <c r="B31" s="3" t="s">
        <v>31</v>
      </c>
      <c r="C31" s="2">
        <v>1395</v>
      </c>
      <c r="D31" s="2">
        <v>1544</v>
      </c>
      <c r="E31" s="2">
        <v>0</v>
      </c>
      <c r="F31" s="2">
        <v>0</v>
      </c>
      <c r="G31" s="2">
        <v>0</v>
      </c>
      <c r="H31" s="3">
        <f>SUM(C31:G31)</f>
        <v>2939</v>
      </c>
      <c r="I31" s="3">
        <f t="shared" si="0"/>
        <v>74532</v>
      </c>
    </row>
    <row r="32" spans="1:9" x14ac:dyDescent="0.3">
      <c r="A32" s="3">
        <v>23</v>
      </c>
      <c r="B32" s="3" t="s">
        <v>32</v>
      </c>
      <c r="C32" s="2">
        <v>3151</v>
      </c>
      <c r="D32" s="2">
        <v>1027</v>
      </c>
      <c r="E32" s="2">
        <v>0</v>
      </c>
      <c r="F32" s="2">
        <v>0</v>
      </c>
      <c r="G32" s="2">
        <v>0</v>
      </c>
      <c r="H32" s="3">
        <f>SUM(C32:G32)</f>
        <v>4178</v>
      </c>
      <c r="I32" s="3">
        <f t="shared" si="0"/>
        <v>78710</v>
      </c>
    </row>
    <row r="33" spans="1:9" x14ac:dyDescent="0.3">
      <c r="A33" s="3">
        <v>24</v>
      </c>
      <c r="B33" s="3" t="s">
        <v>33</v>
      </c>
      <c r="C33" s="2">
        <v>3912</v>
      </c>
      <c r="D33" s="2">
        <v>1143</v>
      </c>
      <c r="E33" s="2">
        <v>154</v>
      </c>
      <c r="F33" s="2">
        <v>0</v>
      </c>
      <c r="G33" s="2">
        <v>0</v>
      </c>
      <c r="H33" s="3">
        <f>SUM(C33:G33)</f>
        <v>5209</v>
      </c>
      <c r="I33" s="3">
        <f t="shared" si="0"/>
        <v>83919</v>
      </c>
    </row>
    <row r="34" spans="1:9" x14ac:dyDescent="0.3">
      <c r="A34" s="3">
        <v>25</v>
      </c>
      <c r="B34" s="3" t="s">
        <v>34</v>
      </c>
      <c r="C34" s="2">
        <v>4952</v>
      </c>
      <c r="D34" s="2">
        <v>1396</v>
      </c>
      <c r="E34" s="2">
        <v>485</v>
      </c>
      <c r="F34" s="2">
        <v>0</v>
      </c>
      <c r="G34" s="2">
        <v>0</v>
      </c>
      <c r="H34" s="3">
        <f>SUM(C34:G34)</f>
        <v>6833</v>
      </c>
      <c r="I34" s="3">
        <f t="shared" si="0"/>
        <v>90752</v>
      </c>
    </row>
    <row r="35" spans="1:9" x14ac:dyDescent="0.3">
      <c r="A35" s="3">
        <v>26</v>
      </c>
      <c r="B35" s="3" t="s">
        <v>35</v>
      </c>
      <c r="C35" s="2">
        <v>861</v>
      </c>
      <c r="D35" s="2">
        <v>0</v>
      </c>
      <c r="E35" s="2">
        <v>223</v>
      </c>
      <c r="F35" s="2">
        <v>0</v>
      </c>
      <c r="G35" s="2">
        <v>104</v>
      </c>
      <c r="H35" s="3">
        <f>SUM(C35:G35)</f>
        <v>1188</v>
      </c>
      <c r="I35" s="3">
        <f t="shared" si="0"/>
        <v>91940</v>
      </c>
    </row>
    <row r="36" spans="1:9" x14ac:dyDescent="0.3">
      <c r="A36" s="3">
        <v>27</v>
      </c>
      <c r="B36" s="3" t="s">
        <v>36</v>
      </c>
      <c r="C36" s="2">
        <v>0</v>
      </c>
      <c r="D36" s="2">
        <v>776</v>
      </c>
      <c r="E36" s="2">
        <v>528</v>
      </c>
      <c r="F36" s="2">
        <v>0</v>
      </c>
      <c r="G36" s="2">
        <v>153</v>
      </c>
      <c r="H36" s="3">
        <f>SUM(C36:G36)</f>
        <v>1457</v>
      </c>
      <c r="I36" s="3">
        <f t="shared" si="0"/>
        <v>93397</v>
      </c>
    </row>
    <row r="37" spans="1:9" x14ac:dyDescent="0.3">
      <c r="A37" s="3">
        <v>28</v>
      </c>
      <c r="B37" s="3" t="s">
        <v>37</v>
      </c>
      <c r="C37" s="2">
        <v>35</v>
      </c>
      <c r="D37" s="2">
        <v>1293</v>
      </c>
      <c r="E37" s="2">
        <v>607</v>
      </c>
      <c r="F37" s="2">
        <v>0</v>
      </c>
      <c r="G37" s="2">
        <v>103</v>
      </c>
      <c r="H37" s="3">
        <f>SUM(C37:G37)</f>
        <v>2038</v>
      </c>
      <c r="I37" s="3">
        <f t="shared" si="0"/>
        <v>95435</v>
      </c>
    </row>
    <row r="38" spans="1:9" x14ac:dyDescent="0.3">
      <c r="A38" s="3">
        <v>29</v>
      </c>
      <c r="B38" s="3" t="s">
        <v>38</v>
      </c>
      <c r="C38" s="2">
        <v>0</v>
      </c>
      <c r="D38" s="2">
        <v>1522</v>
      </c>
      <c r="E38" s="2">
        <v>0</v>
      </c>
      <c r="F38" s="2">
        <v>0</v>
      </c>
      <c r="G38" s="2">
        <v>137</v>
      </c>
      <c r="H38" s="3">
        <f>SUM(C38:G38)</f>
        <v>1659</v>
      </c>
      <c r="I38" s="3">
        <f t="shared" si="0"/>
        <v>97094</v>
      </c>
    </row>
    <row r="39" spans="1:9" x14ac:dyDescent="0.3">
      <c r="A39" s="3">
        <v>30</v>
      </c>
      <c r="B39" s="3" t="s">
        <v>39</v>
      </c>
      <c r="C39" s="2">
        <v>1200</v>
      </c>
      <c r="D39" s="2">
        <v>1294</v>
      </c>
      <c r="E39" s="2">
        <v>0</v>
      </c>
      <c r="F39" s="2">
        <v>0</v>
      </c>
      <c r="G39" s="2">
        <v>429</v>
      </c>
      <c r="H39" s="3">
        <f>SUM(C39:G39)</f>
        <v>2923</v>
      </c>
      <c r="I39" s="3">
        <f t="shared" si="0"/>
        <v>100017</v>
      </c>
    </row>
    <row r="40" spans="1:9" x14ac:dyDescent="0.3">
      <c r="A40" s="3">
        <v>31</v>
      </c>
      <c r="B40" s="3" t="s">
        <v>40</v>
      </c>
      <c r="C40" s="2">
        <v>4058</v>
      </c>
      <c r="D40" s="2">
        <v>921</v>
      </c>
      <c r="E40" s="2">
        <v>0</v>
      </c>
      <c r="F40" s="2">
        <v>0</v>
      </c>
      <c r="G40" s="2">
        <v>799</v>
      </c>
      <c r="H40" s="3">
        <f>SUM(C40:G40)</f>
        <v>5778</v>
      </c>
      <c r="I40" s="3">
        <f t="shared" si="0"/>
        <v>105795</v>
      </c>
    </row>
    <row r="41" spans="1:9" x14ac:dyDescent="0.3">
      <c r="A41" s="3">
        <v>32</v>
      </c>
      <c r="B41" s="3" t="s">
        <v>41</v>
      </c>
      <c r="C41" s="2">
        <v>6065</v>
      </c>
      <c r="D41" s="2">
        <v>1285</v>
      </c>
      <c r="E41" s="2">
        <v>306</v>
      </c>
      <c r="F41" s="2">
        <v>0</v>
      </c>
      <c r="G41" s="2">
        <v>1025</v>
      </c>
      <c r="H41" s="3">
        <f>SUM(C41:G41)</f>
        <v>8681</v>
      </c>
      <c r="I41" s="3">
        <f t="shared" si="0"/>
        <v>114476</v>
      </c>
    </row>
    <row r="42" spans="1:9" x14ac:dyDescent="0.3">
      <c r="A42" s="3">
        <v>33</v>
      </c>
      <c r="B42" s="3" t="s">
        <v>42</v>
      </c>
      <c r="C42" s="2">
        <v>3966</v>
      </c>
      <c r="D42" s="2">
        <v>924</v>
      </c>
      <c r="E42" s="2">
        <v>875</v>
      </c>
      <c r="F42" s="2">
        <v>0</v>
      </c>
      <c r="G42" s="2">
        <v>1049</v>
      </c>
      <c r="H42" s="3">
        <f>SUM(C42:G42)</f>
        <v>6814</v>
      </c>
      <c r="I42" s="3">
        <f t="shared" si="0"/>
        <v>121290</v>
      </c>
    </row>
    <row r="43" spans="1:9" x14ac:dyDescent="0.3">
      <c r="A43" s="3">
        <v>34</v>
      </c>
      <c r="B43" s="3" t="s">
        <v>43</v>
      </c>
      <c r="C43" s="2">
        <v>2279</v>
      </c>
      <c r="D43" s="2">
        <v>772</v>
      </c>
      <c r="E43" s="2">
        <v>980</v>
      </c>
      <c r="F43" s="2">
        <v>0</v>
      </c>
      <c r="G43" s="2">
        <v>835</v>
      </c>
      <c r="H43" s="3">
        <f>SUM(C43:G43)</f>
        <v>4866</v>
      </c>
      <c r="I43" s="3">
        <f t="shared" ref="I43:I74" si="1">H43+I42</f>
        <v>126156</v>
      </c>
    </row>
    <row r="44" spans="1:9" x14ac:dyDescent="0.3">
      <c r="A44" s="3">
        <v>35</v>
      </c>
      <c r="B44" s="3" t="s">
        <v>44</v>
      </c>
      <c r="C44" s="2">
        <v>710</v>
      </c>
      <c r="D44" s="2">
        <v>1428</v>
      </c>
      <c r="E44" s="2">
        <v>729</v>
      </c>
      <c r="F44" s="2">
        <v>0</v>
      </c>
      <c r="G44" s="2">
        <v>233</v>
      </c>
      <c r="H44" s="3">
        <f>SUM(C44:G44)</f>
        <v>3100</v>
      </c>
      <c r="I44" s="3">
        <f t="shared" si="1"/>
        <v>129256</v>
      </c>
    </row>
    <row r="45" spans="1:9" x14ac:dyDescent="0.3">
      <c r="A45" s="3">
        <v>36</v>
      </c>
      <c r="B45" s="3" t="s">
        <v>45</v>
      </c>
      <c r="C45" s="2">
        <v>0</v>
      </c>
      <c r="D45" s="2">
        <v>1238</v>
      </c>
      <c r="E45" s="2">
        <v>0</v>
      </c>
      <c r="F45" s="2">
        <v>515</v>
      </c>
      <c r="G45" s="2">
        <v>276</v>
      </c>
      <c r="H45" s="3">
        <f>SUM(C45:G45)</f>
        <v>2029</v>
      </c>
      <c r="I45" s="3">
        <f t="shared" si="1"/>
        <v>131285</v>
      </c>
    </row>
    <row r="46" spans="1:9" x14ac:dyDescent="0.3">
      <c r="A46" s="3">
        <v>37</v>
      </c>
      <c r="B46" s="3" t="s">
        <v>46</v>
      </c>
      <c r="C46" s="2">
        <v>0</v>
      </c>
      <c r="D46" s="2">
        <v>1467</v>
      </c>
      <c r="E46" s="2">
        <v>0</v>
      </c>
      <c r="F46" s="2">
        <v>485</v>
      </c>
      <c r="G46" s="2">
        <v>458</v>
      </c>
      <c r="H46" s="3">
        <f>SUM(C46:G46)</f>
        <v>2410</v>
      </c>
      <c r="I46" s="3">
        <f t="shared" si="1"/>
        <v>133695</v>
      </c>
    </row>
    <row r="47" spans="1:9" x14ac:dyDescent="0.3">
      <c r="A47" s="3">
        <v>38</v>
      </c>
      <c r="B47" s="3" t="s">
        <v>47</v>
      </c>
      <c r="C47" s="2">
        <v>0</v>
      </c>
      <c r="D47" s="2">
        <v>736</v>
      </c>
      <c r="E47" s="2">
        <v>0</v>
      </c>
      <c r="F47" s="2">
        <v>0</v>
      </c>
      <c r="G47" s="2">
        <v>2297</v>
      </c>
      <c r="H47" s="3">
        <f>SUM(C47:G47)</f>
        <v>3033</v>
      </c>
      <c r="I47" s="3">
        <f t="shared" si="1"/>
        <v>136728</v>
      </c>
    </row>
    <row r="48" spans="1:9" x14ac:dyDescent="0.3">
      <c r="A48" s="3">
        <v>39</v>
      </c>
      <c r="B48" s="3" t="s">
        <v>48</v>
      </c>
      <c r="C48" s="2">
        <v>0</v>
      </c>
      <c r="D48" s="2">
        <v>1212</v>
      </c>
      <c r="E48" s="2">
        <v>0</v>
      </c>
      <c r="F48" s="2">
        <v>0</v>
      </c>
      <c r="G48" s="2">
        <v>5217</v>
      </c>
      <c r="H48" s="3">
        <f>SUM(C48:G48)</f>
        <v>6429</v>
      </c>
      <c r="I48" s="3">
        <f t="shared" si="1"/>
        <v>143157</v>
      </c>
    </row>
    <row r="49" spans="1:9" x14ac:dyDescent="0.3">
      <c r="A49" s="3">
        <v>40</v>
      </c>
      <c r="B49" s="3" t="s">
        <v>49</v>
      </c>
      <c r="C49" s="2">
        <v>0</v>
      </c>
      <c r="D49" s="2">
        <v>1214</v>
      </c>
      <c r="E49" s="2">
        <v>0</v>
      </c>
      <c r="F49" s="2">
        <v>0</v>
      </c>
      <c r="G49" s="2">
        <v>3606</v>
      </c>
      <c r="H49" s="3">
        <f>SUM(C49:G49)</f>
        <v>4820</v>
      </c>
      <c r="I49" s="3">
        <f t="shared" si="1"/>
        <v>147977</v>
      </c>
    </row>
    <row r="50" spans="1:9" x14ac:dyDescent="0.3">
      <c r="A50" s="3">
        <v>41</v>
      </c>
      <c r="B50" s="3" t="s">
        <v>50</v>
      </c>
      <c r="C50" s="2">
        <v>0</v>
      </c>
      <c r="D50" s="2">
        <v>1724</v>
      </c>
      <c r="E50" s="2">
        <v>0</v>
      </c>
      <c r="F50" s="2">
        <v>0</v>
      </c>
      <c r="G50" s="2">
        <v>3529</v>
      </c>
      <c r="H50" s="3">
        <f>SUM(C50:G50)</f>
        <v>5253</v>
      </c>
      <c r="I50" s="3">
        <f t="shared" si="1"/>
        <v>153230</v>
      </c>
    </row>
    <row r="51" spans="1:9" x14ac:dyDescent="0.3">
      <c r="A51" s="3">
        <v>42</v>
      </c>
      <c r="B51" s="3" t="s">
        <v>51</v>
      </c>
      <c r="C51" s="2">
        <v>295</v>
      </c>
      <c r="D51" s="2">
        <v>1433</v>
      </c>
      <c r="E51" s="2">
        <v>717</v>
      </c>
      <c r="F51" s="2">
        <v>0</v>
      </c>
      <c r="G51" s="2">
        <v>2694</v>
      </c>
      <c r="H51" s="3">
        <f>SUM(C51:G51)</f>
        <v>5139</v>
      </c>
      <c r="I51" s="3">
        <f t="shared" si="1"/>
        <v>158369</v>
      </c>
    </row>
    <row r="52" spans="1:9" x14ac:dyDescent="0.3">
      <c r="A52" s="3">
        <v>43</v>
      </c>
      <c r="B52" s="3" t="s">
        <v>52</v>
      </c>
      <c r="C52" s="2">
        <v>4477</v>
      </c>
      <c r="D52" s="2">
        <v>890</v>
      </c>
      <c r="E52" s="2">
        <v>3646</v>
      </c>
      <c r="F52" s="2">
        <v>505</v>
      </c>
      <c r="G52" s="2">
        <v>2568</v>
      </c>
      <c r="H52" s="3">
        <f>SUM(C52:G52)</f>
        <v>12086</v>
      </c>
      <c r="I52" s="3">
        <f t="shared" si="1"/>
        <v>170455</v>
      </c>
    </row>
    <row r="53" spans="1:9" x14ac:dyDescent="0.3">
      <c r="A53" s="3">
        <v>44</v>
      </c>
      <c r="B53" s="3" t="s">
        <v>53</v>
      </c>
      <c r="C53" s="2">
        <v>4899</v>
      </c>
      <c r="D53" s="2">
        <v>1319</v>
      </c>
      <c r="E53" s="2">
        <v>2946</v>
      </c>
      <c r="F53" s="2">
        <v>150</v>
      </c>
      <c r="G53" s="2">
        <v>491</v>
      </c>
      <c r="H53" s="3">
        <f>SUM(C53:G53)</f>
        <v>9805</v>
      </c>
      <c r="I53" s="3">
        <f t="shared" si="1"/>
        <v>180260</v>
      </c>
    </row>
    <row r="54" spans="1:9" x14ac:dyDescent="0.3">
      <c r="A54" s="3">
        <v>45</v>
      </c>
      <c r="B54" s="3" t="s">
        <v>54</v>
      </c>
      <c r="C54" s="2">
        <v>4154</v>
      </c>
      <c r="D54" s="2">
        <v>1138</v>
      </c>
      <c r="E54" s="2">
        <v>4736</v>
      </c>
      <c r="F54" s="2">
        <v>394</v>
      </c>
      <c r="G54" s="2">
        <v>34</v>
      </c>
      <c r="H54" s="3">
        <f>SUM(C54:G54)</f>
        <v>10456</v>
      </c>
      <c r="I54" s="3">
        <f t="shared" si="1"/>
        <v>190716</v>
      </c>
    </row>
    <row r="55" spans="1:9" x14ac:dyDescent="0.3">
      <c r="A55" s="3">
        <v>46</v>
      </c>
      <c r="B55" s="3" t="s">
        <v>55</v>
      </c>
      <c r="C55" s="2">
        <v>4179</v>
      </c>
      <c r="D55" s="2">
        <v>2761</v>
      </c>
      <c r="E55" s="2">
        <v>2399</v>
      </c>
      <c r="F55" s="2">
        <v>377</v>
      </c>
      <c r="G55" s="2">
        <v>202</v>
      </c>
      <c r="H55" s="3">
        <f>SUM(C55:G55)</f>
        <v>9918</v>
      </c>
      <c r="I55" s="3">
        <f t="shared" si="1"/>
        <v>200634</v>
      </c>
    </row>
    <row r="56" spans="1:9" x14ac:dyDescent="0.3">
      <c r="A56" s="3">
        <v>47</v>
      </c>
      <c r="B56" s="3" t="s">
        <v>56</v>
      </c>
      <c r="C56" s="2">
        <v>3396</v>
      </c>
      <c r="D56" s="2">
        <v>2166</v>
      </c>
      <c r="E56" s="2">
        <v>2482</v>
      </c>
      <c r="F56" s="2">
        <v>1859</v>
      </c>
      <c r="G56" s="2">
        <v>4790</v>
      </c>
      <c r="H56" s="3">
        <f>SUM(C56:G56)</f>
        <v>14693</v>
      </c>
      <c r="I56" s="3">
        <f t="shared" si="1"/>
        <v>215327</v>
      </c>
    </row>
    <row r="57" spans="1:9" x14ac:dyDescent="0.3">
      <c r="A57" s="3">
        <v>48</v>
      </c>
      <c r="B57" s="3" t="s">
        <v>57</v>
      </c>
      <c r="C57" s="2">
        <v>1555</v>
      </c>
      <c r="D57" s="2">
        <v>2013</v>
      </c>
      <c r="E57" s="2">
        <v>1895</v>
      </c>
      <c r="F57" s="2">
        <v>680</v>
      </c>
      <c r="G57" s="2">
        <v>1527</v>
      </c>
      <c r="H57" s="3">
        <f>SUM(C57:G57)</f>
        <v>7670</v>
      </c>
      <c r="I57" s="3">
        <f t="shared" si="1"/>
        <v>222997</v>
      </c>
    </row>
    <row r="58" spans="1:9" x14ac:dyDescent="0.3">
      <c r="A58" s="3">
        <v>49</v>
      </c>
      <c r="B58" s="3" t="s">
        <v>58</v>
      </c>
      <c r="C58" s="2">
        <v>841</v>
      </c>
      <c r="D58" s="2">
        <v>479</v>
      </c>
      <c r="E58" s="2">
        <v>1424</v>
      </c>
      <c r="F58" s="2">
        <v>989</v>
      </c>
      <c r="G58" s="2">
        <v>0</v>
      </c>
      <c r="H58" s="3">
        <f>SUM(C58:G58)</f>
        <v>3733</v>
      </c>
      <c r="I58" s="3">
        <f t="shared" si="1"/>
        <v>226730</v>
      </c>
    </row>
    <row r="59" spans="1:9" x14ac:dyDescent="0.3">
      <c r="A59" s="3">
        <v>50</v>
      </c>
      <c r="B59" s="3" t="s">
        <v>59</v>
      </c>
      <c r="C59" s="2">
        <v>944</v>
      </c>
      <c r="D59" s="2">
        <v>0</v>
      </c>
      <c r="E59" s="2">
        <v>551</v>
      </c>
      <c r="F59" s="2">
        <v>2109</v>
      </c>
      <c r="G59" s="2">
        <v>0</v>
      </c>
      <c r="H59" s="3">
        <f>SUM(C59:G59)</f>
        <v>3604</v>
      </c>
      <c r="I59" s="3">
        <f t="shared" si="1"/>
        <v>230334</v>
      </c>
    </row>
    <row r="60" spans="1:9" x14ac:dyDescent="0.3">
      <c r="A60" s="3">
        <v>51</v>
      </c>
      <c r="B60" s="3" t="s">
        <v>60</v>
      </c>
      <c r="C60" s="2">
        <v>0</v>
      </c>
      <c r="D60" s="2">
        <v>1806</v>
      </c>
      <c r="E60" s="2">
        <v>0</v>
      </c>
      <c r="F60" s="2">
        <v>1358</v>
      </c>
      <c r="G60" s="2">
        <v>0</v>
      </c>
      <c r="H60" s="3">
        <f>SUM(C60:G60)</f>
        <v>3164</v>
      </c>
      <c r="I60" s="3">
        <f t="shared" si="1"/>
        <v>233498</v>
      </c>
    </row>
    <row r="61" spans="1:9" x14ac:dyDescent="0.3">
      <c r="A61" s="3">
        <v>52</v>
      </c>
      <c r="B61" s="3" t="s">
        <v>61</v>
      </c>
      <c r="C61" s="2">
        <v>0</v>
      </c>
      <c r="D61" s="2">
        <v>1909</v>
      </c>
      <c r="E61" s="2">
        <v>0</v>
      </c>
      <c r="F61" s="2">
        <v>352</v>
      </c>
      <c r="G61" s="2">
        <v>0</v>
      </c>
      <c r="H61" s="3">
        <f>SUM(C61:G61)</f>
        <v>2261</v>
      </c>
      <c r="I61" s="3">
        <f t="shared" si="1"/>
        <v>235759</v>
      </c>
    </row>
    <row r="62" spans="1:9" x14ac:dyDescent="0.3">
      <c r="A62" s="3" t="s">
        <v>2</v>
      </c>
      <c r="B62" s="3" t="s">
        <v>62</v>
      </c>
      <c r="C62" s="3">
        <f t="shared" ref="C62:G62" si="2">SUM(C10:C61)</f>
        <v>74550</v>
      </c>
      <c r="D62" s="3">
        <f t="shared" si="2"/>
        <v>65377</v>
      </c>
      <c r="E62" s="3">
        <f t="shared" si="2"/>
        <v>46140</v>
      </c>
      <c r="F62" s="3">
        <f t="shared" si="2"/>
        <v>9773</v>
      </c>
      <c r="G62" s="3">
        <f t="shared" si="2"/>
        <v>39919</v>
      </c>
      <c r="H62" s="3">
        <f>SUM(H10:H61)</f>
        <v>235759</v>
      </c>
      <c r="I62" s="3"/>
    </row>
  </sheetData>
  <mergeCells count="3">
    <mergeCell ref="A6:I6"/>
    <mergeCell ref="A7:I7"/>
    <mergeCell ref="A8:I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6:H65"/>
  <sheetViews>
    <sheetView workbookViewId="0">
      <pane xSplit="2" ySplit="9" topLeftCell="C46" activePane="bottomRight" state="frozen"/>
      <selection pane="topRight" activeCell="C1" sqref="C1"/>
      <selection pane="bottomLeft" activeCell="A10" sqref="A10"/>
      <selection pane="bottomRight" activeCell="A64" sqref="A64:A65"/>
    </sheetView>
  </sheetViews>
  <sheetFormatPr defaultRowHeight="14.4" x14ac:dyDescent="0.3"/>
  <cols>
    <col min="1" max="1" width="10" customWidth="1"/>
    <col min="2" max="2" width="27.5546875" customWidth="1"/>
    <col min="3" max="3" width="11" customWidth="1"/>
    <col min="4" max="4" width="10" customWidth="1"/>
    <col min="5" max="5" width="12.109375" customWidth="1"/>
    <col min="6" max="6" width="13.44140625" customWidth="1"/>
    <col min="7" max="7" width="17.33203125" bestFit="1" customWidth="1"/>
    <col min="8" max="8" width="22.77734375" bestFit="1" customWidth="1"/>
  </cols>
  <sheetData>
    <row r="6" spans="1:8" ht="15.6" x14ac:dyDescent="0.3">
      <c r="A6" s="4" t="s">
        <v>79</v>
      </c>
      <c r="B6" s="5"/>
      <c r="C6" s="5"/>
      <c r="D6" s="5"/>
      <c r="E6" s="5"/>
      <c r="F6" s="5"/>
      <c r="G6" s="5"/>
      <c r="H6" s="6"/>
    </row>
    <row r="7" spans="1:8" ht="15.6" x14ac:dyDescent="0.3">
      <c r="A7" s="4" t="s">
        <v>80</v>
      </c>
      <c r="B7" s="5"/>
      <c r="C7" s="5"/>
      <c r="D7" s="5"/>
      <c r="E7" s="5"/>
      <c r="F7" s="5"/>
      <c r="G7" s="5"/>
      <c r="H7" s="6"/>
    </row>
    <row r="8" spans="1:8" x14ac:dyDescent="0.3">
      <c r="A8" s="7" t="s">
        <v>2</v>
      </c>
      <c r="B8" s="8"/>
      <c r="C8" s="8"/>
      <c r="D8" s="8"/>
      <c r="E8" s="8"/>
      <c r="F8" s="8"/>
      <c r="G8" s="8"/>
      <c r="H8" s="9"/>
    </row>
    <row r="9" spans="1:8" x14ac:dyDescent="0.3">
      <c r="A9" s="1"/>
      <c r="B9" s="1" t="s">
        <v>3</v>
      </c>
      <c r="C9" s="1" t="s">
        <v>81</v>
      </c>
      <c r="D9" s="1" t="s">
        <v>82</v>
      </c>
      <c r="E9" s="1" t="s">
        <v>83</v>
      </c>
      <c r="F9" s="1" t="s">
        <v>84</v>
      </c>
      <c r="G9" s="10" t="s">
        <v>89</v>
      </c>
      <c r="H9" s="10" t="s">
        <v>90</v>
      </c>
    </row>
    <row r="10" spans="1:8" x14ac:dyDescent="0.3">
      <c r="A10" s="3">
        <v>1</v>
      </c>
      <c r="B10" s="3" t="s">
        <v>10</v>
      </c>
      <c r="C10" s="2">
        <v>15795</v>
      </c>
      <c r="D10" s="2">
        <v>60653</v>
      </c>
      <c r="E10" s="2">
        <v>0</v>
      </c>
      <c r="F10" s="2">
        <v>0</v>
      </c>
      <c r="G10" s="3">
        <f t="shared" ref="G10:G41" si="0">SUM(C10:F10)</f>
        <v>76448</v>
      </c>
      <c r="H10" s="3">
        <f>G10</f>
        <v>76448</v>
      </c>
    </row>
    <row r="11" spans="1:8" x14ac:dyDescent="0.3">
      <c r="A11" s="3">
        <v>2</v>
      </c>
      <c r="B11" s="3" t="s">
        <v>11</v>
      </c>
      <c r="C11" s="2">
        <v>20465</v>
      </c>
      <c r="D11" s="2">
        <v>52291</v>
      </c>
      <c r="E11" s="2">
        <v>0</v>
      </c>
      <c r="F11" s="2">
        <v>1255</v>
      </c>
      <c r="G11" s="3">
        <f t="shared" si="0"/>
        <v>74011</v>
      </c>
      <c r="H11" s="3">
        <f t="shared" ref="H11:H42" si="1">G11+H10</f>
        <v>150459</v>
      </c>
    </row>
    <row r="12" spans="1:8" x14ac:dyDescent="0.3">
      <c r="A12" s="3">
        <v>3</v>
      </c>
      <c r="B12" s="3" t="s">
        <v>12</v>
      </c>
      <c r="C12" s="2">
        <v>11787</v>
      </c>
      <c r="D12" s="2">
        <v>49852</v>
      </c>
      <c r="E12" s="2">
        <v>0</v>
      </c>
      <c r="F12" s="2">
        <v>8766</v>
      </c>
      <c r="G12" s="3">
        <f t="shared" si="0"/>
        <v>70405</v>
      </c>
      <c r="H12" s="3">
        <f t="shared" si="1"/>
        <v>220864</v>
      </c>
    </row>
    <row r="13" spans="1:8" x14ac:dyDescent="0.3">
      <c r="A13" s="3">
        <v>4</v>
      </c>
      <c r="B13" s="3" t="s">
        <v>13</v>
      </c>
      <c r="C13" s="2">
        <v>0</v>
      </c>
      <c r="D13" s="2">
        <v>61584</v>
      </c>
      <c r="E13" s="2">
        <v>0</v>
      </c>
      <c r="F13" s="2">
        <v>0</v>
      </c>
      <c r="G13" s="3">
        <f t="shared" si="0"/>
        <v>61584</v>
      </c>
      <c r="H13" s="3">
        <f t="shared" si="1"/>
        <v>282448</v>
      </c>
    </row>
    <row r="14" spans="1:8" x14ac:dyDescent="0.3">
      <c r="A14" s="3">
        <v>5</v>
      </c>
      <c r="B14" s="3" t="s">
        <v>14</v>
      </c>
      <c r="C14" s="2">
        <v>0</v>
      </c>
      <c r="D14" s="2">
        <v>56611</v>
      </c>
      <c r="E14" s="2">
        <v>0</v>
      </c>
      <c r="F14" s="2">
        <v>0</v>
      </c>
      <c r="G14" s="3">
        <f t="shared" si="0"/>
        <v>56611</v>
      </c>
      <c r="H14" s="3">
        <f t="shared" si="1"/>
        <v>339059</v>
      </c>
    </row>
    <row r="15" spans="1:8" x14ac:dyDescent="0.3">
      <c r="A15" s="3">
        <v>6</v>
      </c>
      <c r="B15" s="3" t="s">
        <v>15</v>
      </c>
      <c r="C15" s="2">
        <v>0</v>
      </c>
      <c r="D15" s="2">
        <v>27004</v>
      </c>
      <c r="E15" s="2">
        <v>0</v>
      </c>
      <c r="F15" s="2">
        <v>0</v>
      </c>
      <c r="G15" s="3">
        <f t="shared" si="0"/>
        <v>27004</v>
      </c>
      <c r="H15" s="3">
        <f t="shared" si="1"/>
        <v>366063</v>
      </c>
    </row>
    <row r="16" spans="1:8" x14ac:dyDescent="0.3">
      <c r="A16" s="3">
        <v>7</v>
      </c>
      <c r="B16" s="3" t="s">
        <v>16</v>
      </c>
      <c r="C16" s="2">
        <v>0</v>
      </c>
      <c r="D16" s="2">
        <v>43871</v>
      </c>
      <c r="E16" s="2">
        <v>0</v>
      </c>
      <c r="F16" s="2">
        <v>0</v>
      </c>
      <c r="G16" s="3">
        <f t="shared" si="0"/>
        <v>43871</v>
      </c>
      <c r="H16" s="3">
        <f t="shared" si="1"/>
        <v>409934</v>
      </c>
    </row>
    <row r="17" spans="1:8" x14ac:dyDescent="0.3">
      <c r="A17" s="3">
        <v>8</v>
      </c>
      <c r="B17" s="3" t="s">
        <v>17</v>
      </c>
      <c r="C17" s="2">
        <v>0</v>
      </c>
      <c r="D17" s="2">
        <v>69557</v>
      </c>
      <c r="E17" s="2">
        <v>0</v>
      </c>
      <c r="F17" s="2">
        <v>0</v>
      </c>
      <c r="G17" s="3">
        <f t="shared" si="0"/>
        <v>69557</v>
      </c>
      <c r="H17" s="3">
        <f t="shared" si="1"/>
        <v>479491</v>
      </c>
    </row>
    <row r="18" spans="1:8" x14ac:dyDescent="0.3">
      <c r="A18" s="3">
        <v>9</v>
      </c>
      <c r="B18" s="3" t="s">
        <v>18</v>
      </c>
      <c r="C18" s="2">
        <v>0</v>
      </c>
      <c r="D18" s="2">
        <v>37505</v>
      </c>
      <c r="E18" s="2">
        <v>0</v>
      </c>
      <c r="F18" s="2">
        <v>0</v>
      </c>
      <c r="G18" s="3">
        <f t="shared" si="0"/>
        <v>37505</v>
      </c>
      <c r="H18" s="3">
        <f t="shared" si="1"/>
        <v>516996</v>
      </c>
    </row>
    <row r="19" spans="1:8" x14ac:dyDescent="0.3">
      <c r="A19" s="3">
        <v>10</v>
      </c>
      <c r="B19" s="3" t="s">
        <v>19</v>
      </c>
      <c r="C19" s="2">
        <v>0</v>
      </c>
      <c r="D19" s="2">
        <v>58656</v>
      </c>
      <c r="E19" s="2">
        <v>0</v>
      </c>
      <c r="F19" s="2">
        <v>0</v>
      </c>
      <c r="G19" s="3">
        <f t="shared" si="0"/>
        <v>58656</v>
      </c>
      <c r="H19" s="3">
        <f t="shared" si="1"/>
        <v>575652</v>
      </c>
    </row>
    <row r="20" spans="1:8" x14ac:dyDescent="0.3">
      <c r="A20" s="3">
        <v>11</v>
      </c>
      <c r="B20" s="3" t="s">
        <v>20</v>
      </c>
      <c r="C20" s="2">
        <v>0</v>
      </c>
      <c r="D20" s="2">
        <v>29519</v>
      </c>
      <c r="E20" s="2">
        <v>0</v>
      </c>
      <c r="F20" s="2">
        <v>0</v>
      </c>
      <c r="G20" s="3">
        <f t="shared" si="0"/>
        <v>29519</v>
      </c>
      <c r="H20" s="3">
        <f t="shared" si="1"/>
        <v>605171</v>
      </c>
    </row>
    <row r="21" spans="1:8" x14ac:dyDescent="0.3">
      <c r="A21" s="3">
        <v>12</v>
      </c>
      <c r="B21" s="3" t="s">
        <v>21</v>
      </c>
      <c r="C21" s="2">
        <v>0</v>
      </c>
      <c r="D21" s="2">
        <v>0</v>
      </c>
      <c r="E21" s="2">
        <v>0</v>
      </c>
      <c r="F21" s="2">
        <v>0</v>
      </c>
      <c r="G21" s="3">
        <f t="shared" si="0"/>
        <v>0</v>
      </c>
      <c r="H21" s="3">
        <f t="shared" si="1"/>
        <v>605171</v>
      </c>
    </row>
    <row r="22" spans="1:8" x14ac:dyDescent="0.3">
      <c r="A22" s="3">
        <v>13</v>
      </c>
      <c r="B22" s="3" t="s">
        <v>22</v>
      </c>
      <c r="C22" s="2">
        <v>0</v>
      </c>
      <c r="D22" s="2">
        <v>0</v>
      </c>
      <c r="E22" s="2">
        <v>0</v>
      </c>
      <c r="F22" s="2">
        <v>0</v>
      </c>
      <c r="G22" s="3">
        <f t="shared" si="0"/>
        <v>0</v>
      </c>
      <c r="H22" s="3">
        <f t="shared" si="1"/>
        <v>605171</v>
      </c>
    </row>
    <row r="23" spans="1:8" x14ac:dyDescent="0.3">
      <c r="A23" s="3">
        <v>14</v>
      </c>
      <c r="B23" s="3" t="s">
        <v>23</v>
      </c>
      <c r="C23" s="2">
        <v>0</v>
      </c>
      <c r="D23" s="2">
        <v>0</v>
      </c>
      <c r="E23" s="2">
        <v>0</v>
      </c>
      <c r="F23" s="2">
        <v>0</v>
      </c>
      <c r="G23" s="3">
        <f t="shared" si="0"/>
        <v>0</v>
      </c>
      <c r="H23" s="3">
        <f t="shared" si="1"/>
        <v>605171</v>
      </c>
    </row>
    <row r="24" spans="1:8" x14ac:dyDescent="0.3">
      <c r="A24" s="3">
        <v>15</v>
      </c>
      <c r="B24" s="3" t="s">
        <v>24</v>
      </c>
      <c r="C24" s="2">
        <v>0</v>
      </c>
      <c r="D24" s="2">
        <v>26148</v>
      </c>
      <c r="E24" s="2">
        <v>0</v>
      </c>
      <c r="F24" s="2">
        <v>0</v>
      </c>
      <c r="G24" s="3">
        <f t="shared" si="0"/>
        <v>26148</v>
      </c>
      <c r="H24" s="3">
        <f t="shared" si="1"/>
        <v>631319</v>
      </c>
    </row>
    <row r="25" spans="1:8" x14ac:dyDescent="0.3">
      <c r="A25" s="3">
        <v>16</v>
      </c>
      <c r="B25" s="3" t="s">
        <v>25</v>
      </c>
      <c r="C25" s="2">
        <v>0</v>
      </c>
      <c r="D25" s="2">
        <v>28180</v>
      </c>
      <c r="E25" s="2">
        <v>0</v>
      </c>
      <c r="F25" s="2">
        <v>0</v>
      </c>
      <c r="G25" s="3">
        <f t="shared" si="0"/>
        <v>28180</v>
      </c>
      <c r="H25" s="3">
        <f t="shared" si="1"/>
        <v>659499</v>
      </c>
    </row>
    <row r="26" spans="1:8" x14ac:dyDescent="0.3">
      <c r="A26" s="3">
        <v>17</v>
      </c>
      <c r="B26" s="3" t="s">
        <v>26</v>
      </c>
      <c r="C26" s="2">
        <v>0</v>
      </c>
      <c r="D26" s="2">
        <v>20172</v>
      </c>
      <c r="E26" s="2">
        <v>0</v>
      </c>
      <c r="F26" s="2">
        <v>0</v>
      </c>
      <c r="G26" s="3">
        <f t="shared" si="0"/>
        <v>20172</v>
      </c>
      <c r="H26" s="3">
        <f t="shared" si="1"/>
        <v>679671</v>
      </c>
    </row>
    <row r="27" spans="1:8" x14ac:dyDescent="0.3">
      <c r="A27" s="3">
        <v>18</v>
      </c>
      <c r="B27" s="3" t="s">
        <v>27</v>
      </c>
      <c r="C27" s="2">
        <v>0</v>
      </c>
      <c r="D27" s="2">
        <v>54147</v>
      </c>
      <c r="E27" s="2">
        <v>0</v>
      </c>
      <c r="F27" s="2">
        <v>0</v>
      </c>
      <c r="G27" s="3">
        <f t="shared" si="0"/>
        <v>54147</v>
      </c>
      <c r="H27" s="3">
        <f t="shared" si="1"/>
        <v>733818</v>
      </c>
    </row>
    <row r="28" spans="1:8" x14ac:dyDescent="0.3">
      <c r="A28" s="3">
        <v>19</v>
      </c>
      <c r="B28" s="3" t="s">
        <v>28</v>
      </c>
      <c r="C28" s="2">
        <v>22282</v>
      </c>
      <c r="D28" s="2">
        <v>19850</v>
      </c>
      <c r="E28" s="2">
        <v>0</v>
      </c>
      <c r="F28" s="2">
        <v>0</v>
      </c>
      <c r="G28" s="3">
        <f t="shared" si="0"/>
        <v>42132</v>
      </c>
      <c r="H28" s="3">
        <f t="shared" si="1"/>
        <v>775950</v>
      </c>
    </row>
    <row r="29" spans="1:8" x14ac:dyDescent="0.3">
      <c r="A29" s="3">
        <v>20</v>
      </c>
      <c r="B29" s="3" t="s">
        <v>29</v>
      </c>
      <c r="C29" s="2">
        <v>0</v>
      </c>
      <c r="D29" s="2">
        <v>0</v>
      </c>
      <c r="E29" s="2">
        <v>0</v>
      </c>
      <c r="F29" s="2">
        <v>9003</v>
      </c>
      <c r="G29" s="3">
        <f t="shared" si="0"/>
        <v>9003</v>
      </c>
      <c r="H29" s="3">
        <f t="shared" si="1"/>
        <v>784953</v>
      </c>
    </row>
    <row r="30" spans="1:8" x14ac:dyDescent="0.3">
      <c r="A30" s="3">
        <v>21</v>
      </c>
      <c r="B30" s="3" t="s">
        <v>30</v>
      </c>
      <c r="C30" s="2">
        <v>0</v>
      </c>
      <c r="D30" s="2">
        <v>22576</v>
      </c>
      <c r="E30" s="2">
        <v>0</v>
      </c>
      <c r="F30" s="2">
        <v>0</v>
      </c>
      <c r="G30" s="3">
        <f t="shared" si="0"/>
        <v>22576</v>
      </c>
      <c r="H30" s="3">
        <f t="shared" si="1"/>
        <v>807529</v>
      </c>
    </row>
    <row r="31" spans="1:8" x14ac:dyDescent="0.3">
      <c r="A31" s="3">
        <v>22</v>
      </c>
      <c r="B31" s="3" t="s">
        <v>31</v>
      </c>
      <c r="C31" s="2">
        <v>0</v>
      </c>
      <c r="D31" s="2">
        <v>3943</v>
      </c>
      <c r="E31" s="2">
        <v>0</v>
      </c>
      <c r="F31" s="2">
        <v>0</v>
      </c>
      <c r="G31" s="3">
        <f t="shared" si="0"/>
        <v>3943</v>
      </c>
      <c r="H31" s="3">
        <f t="shared" si="1"/>
        <v>811472</v>
      </c>
    </row>
    <row r="32" spans="1:8" x14ac:dyDescent="0.3">
      <c r="A32" s="3">
        <v>23</v>
      </c>
      <c r="B32" s="3" t="s">
        <v>32</v>
      </c>
      <c r="C32" s="2">
        <v>0</v>
      </c>
      <c r="D32" s="2">
        <v>57640</v>
      </c>
      <c r="E32" s="2">
        <v>0</v>
      </c>
      <c r="F32" s="2">
        <v>415</v>
      </c>
      <c r="G32" s="3">
        <f t="shared" si="0"/>
        <v>58055</v>
      </c>
      <c r="H32" s="3">
        <f t="shared" si="1"/>
        <v>869527</v>
      </c>
    </row>
    <row r="33" spans="1:8" x14ac:dyDescent="0.3">
      <c r="A33" s="3">
        <v>24</v>
      </c>
      <c r="B33" s="3" t="s">
        <v>33</v>
      </c>
      <c r="C33" s="2">
        <v>9812</v>
      </c>
      <c r="D33" s="2">
        <v>100492</v>
      </c>
      <c r="E33" s="2">
        <v>0</v>
      </c>
      <c r="F33" s="2">
        <v>8487</v>
      </c>
      <c r="G33" s="3">
        <f t="shared" si="0"/>
        <v>118791</v>
      </c>
      <c r="H33" s="3">
        <f t="shared" si="1"/>
        <v>988318</v>
      </c>
    </row>
    <row r="34" spans="1:8" x14ac:dyDescent="0.3">
      <c r="A34" s="3">
        <v>25</v>
      </c>
      <c r="B34" s="3" t="s">
        <v>34</v>
      </c>
      <c r="C34" s="2">
        <v>169</v>
      </c>
      <c r="D34" s="2">
        <v>19366</v>
      </c>
      <c r="E34" s="2">
        <v>0</v>
      </c>
      <c r="F34" s="2">
        <v>0</v>
      </c>
      <c r="G34" s="3">
        <f t="shared" si="0"/>
        <v>19535</v>
      </c>
      <c r="H34" s="3">
        <f t="shared" si="1"/>
        <v>1007853</v>
      </c>
    </row>
    <row r="35" spans="1:8" x14ac:dyDescent="0.3">
      <c r="A35" s="3">
        <v>26</v>
      </c>
      <c r="B35" s="3" t="s">
        <v>35</v>
      </c>
      <c r="C35" s="2">
        <v>14695</v>
      </c>
      <c r="D35" s="2">
        <v>0</v>
      </c>
      <c r="E35" s="2">
        <v>0</v>
      </c>
      <c r="F35" s="2">
        <v>0</v>
      </c>
      <c r="G35" s="3">
        <f t="shared" si="0"/>
        <v>14695</v>
      </c>
      <c r="H35" s="3">
        <f t="shared" si="1"/>
        <v>1022548</v>
      </c>
    </row>
    <row r="36" spans="1:8" x14ac:dyDescent="0.3">
      <c r="A36" s="3">
        <v>27</v>
      </c>
      <c r="B36" s="3" t="s">
        <v>36</v>
      </c>
      <c r="C36" s="2">
        <v>5972</v>
      </c>
      <c r="D36" s="2">
        <v>0</v>
      </c>
      <c r="E36" s="2">
        <v>0</v>
      </c>
      <c r="F36" s="2">
        <v>0</v>
      </c>
      <c r="G36" s="3">
        <f t="shared" si="0"/>
        <v>5972</v>
      </c>
      <c r="H36" s="3">
        <f t="shared" si="1"/>
        <v>1028520</v>
      </c>
    </row>
    <row r="37" spans="1:8" x14ac:dyDescent="0.3">
      <c r="A37" s="3">
        <v>28</v>
      </c>
      <c r="B37" s="3" t="s">
        <v>37</v>
      </c>
      <c r="C37" s="2">
        <v>0</v>
      </c>
      <c r="D37" s="2">
        <v>0</v>
      </c>
      <c r="E37" s="2">
        <v>0</v>
      </c>
      <c r="F37" s="2">
        <v>0</v>
      </c>
      <c r="G37" s="3">
        <f t="shared" si="0"/>
        <v>0</v>
      </c>
      <c r="H37" s="3">
        <f t="shared" si="1"/>
        <v>1028520</v>
      </c>
    </row>
    <row r="38" spans="1:8" x14ac:dyDescent="0.3">
      <c r="A38" s="3">
        <v>29</v>
      </c>
      <c r="B38" s="3" t="s">
        <v>38</v>
      </c>
      <c r="C38" s="2">
        <v>15000</v>
      </c>
      <c r="D38" s="2">
        <v>0</v>
      </c>
      <c r="E38" s="2">
        <v>0</v>
      </c>
      <c r="F38" s="2">
        <v>0</v>
      </c>
      <c r="G38" s="3">
        <f t="shared" si="0"/>
        <v>15000</v>
      </c>
      <c r="H38" s="3">
        <f t="shared" si="1"/>
        <v>1043520</v>
      </c>
    </row>
    <row r="39" spans="1:8" x14ac:dyDescent="0.3">
      <c r="A39" s="3">
        <v>30</v>
      </c>
      <c r="B39" s="3" t="s">
        <v>39</v>
      </c>
      <c r="C39" s="2">
        <v>0</v>
      </c>
      <c r="D39" s="2">
        <v>14708</v>
      </c>
      <c r="E39" s="2">
        <v>0</v>
      </c>
      <c r="F39" s="2">
        <v>0</v>
      </c>
      <c r="G39" s="3">
        <f t="shared" si="0"/>
        <v>14708</v>
      </c>
      <c r="H39" s="3">
        <f t="shared" si="1"/>
        <v>1058228</v>
      </c>
    </row>
    <row r="40" spans="1:8" x14ac:dyDescent="0.3">
      <c r="A40" s="3">
        <v>31</v>
      </c>
      <c r="B40" s="3" t="s">
        <v>40</v>
      </c>
      <c r="C40" s="2">
        <v>0</v>
      </c>
      <c r="D40" s="2">
        <v>59185</v>
      </c>
      <c r="E40" s="2">
        <v>0</v>
      </c>
      <c r="F40" s="2">
        <v>0</v>
      </c>
      <c r="G40" s="3">
        <f t="shared" si="0"/>
        <v>59185</v>
      </c>
      <c r="H40" s="3">
        <f t="shared" si="1"/>
        <v>1117413</v>
      </c>
    </row>
    <row r="41" spans="1:8" x14ac:dyDescent="0.3">
      <c r="A41" s="3">
        <v>32</v>
      </c>
      <c r="B41" s="3" t="s">
        <v>41</v>
      </c>
      <c r="C41" s="2">
        <v>20000</v>
      </c>
      <c r="D41" s="2">
        <v>33138</v>
      </c>
      <c r="E41" s="2">
        <v>0</v>
      </c>
      <c r="F41" s="2">
        <v>0</v>
      </c>
      <c r="G41" s="3">
        <f t="shared" si="0"/>
        <v>53138</v>
      </c>
      <c r="H41" s="3">
        <f t="shared" si="1"/>
        <v>1170551</v>
      </c>
    </row>
    <row r="42" spans="1:8" x14ac:dyDescent="0.3">
      <c r="A42" s="3">
        <v>33</v>
      </c>
      <c r="B42" s="3" t="s">
        <v>42</v>
      </c>
      <c r="C42" s="2">
        <v>0</v>
      </c>
      <c r="D42" s="2">
        <v>69786</v>
      </c>
      <c r="E42" s="2">
        <v>0</v>
      </c>
      <c r="F42" s="2">
        <v>9026</v>
      </c>
      <c r="G42" s="3">
        <f t="shared" ref="G42:G73" si="2">SUM(C42:F42)</f>
        <v>78812</v>
      </c>
      <c r="H42" s="3">
        <f t="shared" si="1"/>
        <v>1249363</v>
      </c>
    </row>
    <row r="43" spans="1:8" x14ac:dyDescent="0.3">
      <c r="A43" s="3">
        <v>34</v>
      </c>
      <c r="B43" s="3" t="s">
        <v>43</v>
      </c>
      <c r="C43" s="2">
        <v>0</v>
      </c>
      <c r="D43" s="2">
        <v>93478</v>
      </c>
      <c r="E43" s="2">
        <v>0</v>
      </c>
      <c r="F43" s="2">
        <v>0</v>
      </c>
      <c r="G43" s="3">
        <f t="shared" si="2"/>
        <v>93478</v>
      </c>
      <c r="H43" s="3">
        <f t="shared" ref="H43:H74" si="3">G43+H42</f>
        <v>1342841</v>
      </c>
    </row>
    <row r="44" spans="1:8" x14ac:dyDescent="0.3">
      <c r="A44" s="3">
        <v>35</v>
      </c>
      <c r="B44" s="3" t="s">
        <v>44</v>
      </c>
      <c r="C44" s="2">
        <v>0</v>
      </c>
      <c r="D44" s="2">
        <v>0</v>
      </c>
      <c r="E44" s="2">
        <v>12607</v>
      </c>
      <c r="F44" s="2">
        <v>0</v>
      </c>
      <c r="G44" s="3">
        <f t="shared" si="2"/>
        <v>12607</v>
      </c>
      <c r="H44" s="3">
        <f t="shared" si="3"/>
        <v>1355448</v>
      </c>
    </row>
    <row r="45" spans="1:8" x14ac:dyDescent="0.3">
      <c r="A45" s="3">
        <v>36</v>
      </c>
      <c r="B45" s="3" t="s">
        <v>45</v>
      </c>
      <c r="C45" s="2">
        <v>7898</v>
      </c>
      <c r="D45" s="2">
        <v>0</v>
      </c>
      <c r="E45" s="2">
        <v>0</v>
      </c>
      <c r="F45" s="2">
        <v>0</v>
      </c>
      <c r="G45" s="3">
        <f t="shared" si="2"/>
        <v>7898</v>
      </c>
      <c r="H45" s="3">
        <f t="shared" si="3"/>
        <v>1363346</v>
      </c>
    </row>
    <row r="46" spans="1:8" x14ac:dyDescent="0.3">
      <c r="A46" s="3">
        <v>37</v>
      </c>
      <c r="B46" s="3" t="s">
        <v>46</v>
      </c>
      <c r="C46" s="2">
        <v>0</v>
      </c>
      <c r="D46" s="2">
        <v>21946</v>
      </c>
      <c r="E46" s="2">
        <v>0</v>
      </c>
      <c r="F46" s="2">
        <v>0</v>
      </c>
      <c r="G46" s="3">
        <f t="shared" si="2"/>
        <v>21946</v>
      </c>
      <c r="H46" s="3">
        <f t="shared" si="3"/>
        <v>1385292</v>
      </c>
    </row>
    <row r="47" spans="1:8" x14ac:dyDescent="0.3">
      <c r="A47" s="3">
        <v>38</v>
      </c>
      <c r="B47" s="3" t="s">
        <v>47</v>
      </c>
      <c r="C47" s="2">
        <v>0</v>
      </c>
      <c r="D47" s="2">
        <v>31146</v>
      </c>
      <c r="E47" s="2">
        <v>0</v>
      </c>
      <c r="F47" s="2">
        <v>0</v>
      </c>
      <c r="G47" s="3">
        <f t="shared" si="2"/>
        <v>31146</v>
      </c>
      <c r="H47" s="3">
        <f t="shared" si="3"/>
        <v>1416438</v>
      </c>
    </row>
    <row r="48" spans="1:8" x14ac:dyDescent="0.3">
      <c r="A48" s="3">
        <v>39</v>
      </c>
      <c r="B48" s="3" t="s">
        <v>48</v>
      </c>
      <c r="C48" s="2">
        <v>19864</v>
      </c>
      <c r="D48" s="2">
        <v>39661</v>
      </c>
      <c r="E48" s="2">
        <v>0</v>
      </c>
      <c r="F48" s="2">
        <v>0</v>
      </c>
      <c r="G48" s="3">
        <f t="shared" si="2"/>
        <v>59525</v>
      </c>
      <c r="H48" s="3">
        <f t="shared" si="3"/>
        <v>1475963</v>
      </c>
    </row>
    <row r="49" spans="1:8" x14ac:dyDescent="0.3">
      <c r="A49" s="3">
        <v>40</v>
      </c>
      <c r="B49" s="3" t="s">
        <v>49</v>
      </c>
      <c r="C49" s="2">
        <v>136</v>
      </c>
      <c r="D49" s="2">
        <v>31985</v>
      </c>
      <c r="E49" s="2">
        <v>0</v>
      </c>
      <c r="F49" s="2">
        <v>4067</v>
      </c>
      <c r="G49" s="3">
        <f t="shared" si="2"/>
        <v>36188</v>
      </c>
      <c r="H49" s="3">
        <f t="shared" si="3"/>
        <v>1512151</v>
      </c>
    </row>
    <row r="50" spans="1:8" x14ac:dyDescent="0.3">
      <c r="A50" s="3">
        <v>41</v>
      </c>
      <c r="B50" s="3" t="s">
        <v>50</v>
      </c>
      <c r="C50" s="2">
        <v>0</v>
      </c>
      <c r="D50" s="2">
        <v>66749</v>
      </c>
      <c r="E50" s="2">
        <v>0</v>
      </c>
      <c r="F50" s="2">
        <v>4978</v>
      </c>
      <c r="G50" s="3">
        <f t="shared" si="2"/>
        <v>71727</v>
      </c>
      <c r="H50" s="3">
        <f t="shared" si="3"/>
        <v>1583878</v>
      </c>
    </row>
    <row r="51" spans="1:8" x14ac:dyDescent="0.3">
      <c r="A51" s="3">
        <v>42</v>
      </c>
      <c r="B51" s="3" t="s">
        <v>51</v>
      </c>
      <c r="C51" s="2">
        <v>0</v>
      </c>
      <c r="D51" s="2">
        <v>113901</v>
      </c>
      <c r="E51" s="2">
        <v>0</v>
      </c>
      <c r="F51" s="2">
        <v>0</v>
      </c>
      <c r="G51" s="3">
        <f t="shared" si="2"/>
        <v>113901</v>
      </c>
      <c r="H51" s="3">
        <f t="shared" si="3"/>
        <v>1697779</v>
      </c>
    </row>
    <row r="52" spans="1:8" x14ac:dyDescent="0.3">
      <c r="A52" s="3">
        <v>43</v>
      </c>
      <c r="B52" s="3" t="s">
        <v>52</v>
      </c>
      <c r="C52" s="2">
        <v>0</v>
      </c>
      <c r="D52" s="2">
        <v>59000</v>
      </c>
      <c r="E52" s="2">
        <v>0</v>
      </c>
      <c r="F52" s="2">
        <v>0</v>
      </c>
      <c r="G52" s="3">
        <f t="shared" si="2"/>
        <v>59000</v>
      </c>
      <c r="H52" s="3">
        <f t="shared" si="3"/>
        <v>1756779</v>
      </c>
    </row>
    <row r="53" spans="1:8" x14ac:dyDescent="0.3">
      <c r="A53" s="3">
        <v>44</v>
      </c>
      <c r="B53" s="3" t="s">
        <v>53</v>
      </c>
      <c r="C53" s="2">
        <v>0</v>
      </c>
      <c r="D53" s="2">
        <v>0</v>
      </c>
      <c r="E53" s="2">
        <v>0</v>
      </c>
      <c r="F53" s="2">
        <v>8782</v>
      </c>
      <c r="G53" s="3">
        <f t="shared" si="2"/>
        <v>8782</v>
      </c>
      <c r="H53" s="3">
        <f t="shared" si="3"/>
        <v>1765561</v>
      </c>
    </row>
    <row r="54" spans="1:8" x14ac:dyDescent="0.3">
      <c r="A54" s="3">
        <v>45</v>
      </c>
      <c r="B54" s="3" t="s">
        <v>54</v>
      </c>
      <c r="C54" s="2">
        <v>0</v>
      </c>
      <c r="D54" s="2">
        <v>69282</v>
      </c>
      <c r="E54" s="2">
        <v>0</v>
      </c>
      <c r="F54" s="2">
        <v>0</v>
      </c>
      <c r="G54" s="3">
        <f t="shared" si="2"/>
        <v>69282</v>
      </c>
      <c r="H54" s="3">
        <f t="shared" si="3"/>
        <v>1834843</v>
      </c>
    </row>
    <row r="55" spans="1:8" x14ac:dyDescent="0.3">
      <c r="A55" s="3">
        <v>46</v>
      </c>
      <c r="B55" s="3" t="s">
        <v>55</v>
      </c>
      <c r="C55" s="2">
        <v>0</v>
      </c>
      <c r="D55" s="2">
        <v>0</v>
      </c>
      <c r="E55" s="2">
        <v>0</v>
      </c>
      <c r="F55" s="2">
        <v>0</v>
      </c>
      <c r="G55" s="3">
        <f t="shared" si="2"/>
        <v>0</v>
      </c>
      <c r="H55" s="3">
        <f t="shared" si="3"/>
        <v>1834843</v>
      </c>
    </row>
    <row r="56" spans="1:8" x14ac:dyDescent="0.3">
      <c r="A56" s="3">
        <v>47</v>
      </c>
      <c r="B56" s="3" t="s">
        <v>56</v>
      </c>
      <c r="C56" s="2">
        <v>0</v>
      </c>
      <c r="D56" s="2">
        <v>53859</v>
      </c>
      <c r="E56" s="2">
        <v>0</v>
      </c>
      <c r="F56" s="2">
        <v>0</v>
      </c>
      <c r="G56" s="3">
        <f t="shared" si="2"/>
        <v>53859</v>
      </c>
      <c r="H56" s="3">
        <f t="shared" si="3"/>
        <v>1888702</v>
      </c>
    </row>
    <row r="57" spans="1:8" x14ac:dyDescent="0.3">
      <c r="A57" s="3">
        <v>48</v>
      </c>
      <c r="B57" s="3" t="s">
        <v>57</v>
      </c>
      <c r="C57" s="2">
        <v>0</v>
      </c>
      <c r="D57" s="2">
        <v>0</v>
      </c>
      <c r="E57" s="2">
        <v>0</v>
      </c>
      <c r="F57" s="2">
        <v>0</v>
      </c>
      <c r="G57" s="3">
        <f t="shared" si="2"/>
        <v>0</v>
      </c>
      <c r="H57" s="3">
        <f t="shared" si="3"/>
        <v>1888702</v>
      </c>
    </row>
    <row r="58" spans="1:8" x14ac:dyDescent="0.3">
      <c r="A58" s="3">
        <v>49</v>
      </c>
      <c r="B58" s="3" t="s">
        <v>58</v>
      </c>
      <c r="C58" s="2">
        <v>20002</v>
      </c>
      <c r="D58" s="2">
        <v>4661</v>
      </c>
      <c r="E58" s="2">
        <v>0</v>
      </c>
      <c r="F58" s="2">
        <v>0</v>
      </c>
      <c r="G58" s="3">
        <f t="shared" si="2"/>
        <v>24663</v>
      </c>
      <c r="H58" s="3">
        <f t="shared" si="3"/>
        <v>1913365</v>
      </c>
    </row>
    <row r="59" spans="1:8" x14ac:dyDescent="0.3">
      <c r="A59" s="3">
        <v>50</v>
      </c>
      <c r="B59" s="3" t="s">
        <v>59</v>
      </c>
      <c r="C59" s="2">
        <v>0</v>
      </c>
      <c r="D59" s="2">
        <v>61361</v>
      </c>
      <c r="E59" s="2">
        <v>0</v>
      </c>
      <c r="F59" s="2">
        <v>0</v>
      </c>
      <c r="G59" s="3">
        <f t="shared" si="2"/>
        <v>61361</v>
      </c>
      <c r="H59" s="3">
        <f t="shared" si="3"/>
        <v>1974726</v>
      </c>
    </row>
    <row r="60" spans="1:8" x14ac:dyDescent="0.3">
      <c r="A60" s="3">
        <v>51</v>
      </c>
      <c r="B60" s="3" t="s">
        <v>60</v>
      </c>
      <c r="C60" s="2">
        <v>12666</v>
      </c>
      <c r="D60" s="2">
        <v>35504</v>
      </c>
      <c r="E60" s="2">
        <v>0</v>
      </c>
      <c r="F60" s="2">
        <v>0</v>
      </c>
      <c r="G60" s="3">
        <f t="shared" si="2"/>
        <v>48170</v>
      </c>
      <c r="H60" s="3">
        <f t="shared" si="3"/>
        <v>2022896</v>
      </c>
    </row>
    <row r="61" spans="1:8" x14ac:dyDescent="0.3">
      <c r="A61" s="3">
        <v>52</v>
      </c>
      <c r="B61" s="3" t="s">
        <v>61</v>
      </c>
      <c r="C61" s="2">
        <v>0</v>
      </c>
      <c r="D61" s="2">
        <v>116762</v>
      </c>
      <c r="E61" s="2">
        <v>0</v>
      </c>
      <c r="F61" s="2">
        <v>0</v>
      </c>
      <c r="G61" s="3">
        <f t="shared" si="2"/>
        <v>116762</v>
      </c>
      <c r="H61" s="3">
        <f t="shared" si="3"/>
        <v>2139658</v>
      </c>
    </row>
    <row r="62" spans="1:8" x14ac:dyDescent="0.3">
      <c r="A62" s="3" t="s">
        <v>2</v>
      </c>
      <c r="B62" s="3" t="s">
        <v>62</v>
      </c>
      <c r="C62" s="3">
        <f>SUM(C10:C61)</f>
        <v>196543</v>
      </c>
      <c r="D62" s="3">
        <f>SUM(D10:D61)</f>
        <v>1875729</v>
      </c>
      <c r="E62" s="3">
        <f>SUM(E10:E61)</f>
        <v>12607</v>
      </c>
      <c r="F62" s="3">
        <f>SUM(F10:F61)</f>
        <v>54779</v>
      </c>
      <c r="G62" s="3">
        <f>SUM(G10:G61)</f>
        <v>2139658</v>
      </c>
      <c r="H62" s="3"/>
    </row>
    <row r="64" spans="1:8" x14ac:dyDescent="0.3">
      <c r="A64" t="s">
        <v>91</v>
      </c>
    </row>
    <row r="65" spans="1:1" x14ac:dyDescent="0.3">
      <c r="A65" t="s">
        <v>92</v>
      </c>
    </row>
  </sheetData>
  <mergeCells count="3">
    <mergeCell ref="A6:H6"/>
    <mergeCell ref="A7:H7"/>
    <mergeCell ref="A8:H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6:H62"/>
  <sheetViews>
    <sheetView workbookViewId="0">
      <pane xSplit="2" ySplit="9" topLeftCell="C55" activePane="bottomRight" state="frozen"/>
      <selection pane="topRight" activeCell="C1" sqref="C1"/>
      <selection pane="bottomLeft" activeCell="A10" sqref="A10"/>
      <selection pane="bottomRight" activeCell="H62" sqref="H62"/>
    </sheetView>
  </sheetViews>
  <sheetFormatPr defaultRowHeight="14.4" x14ac:dyDescent="0.3"/>
  <cols>
    <col min="1" max="1" width="10" customWidth="1"/>
    <col min="2" max="2" width="27.5546875" customWidth="1"/>
    <col min="3" max="3" width="11" customWidth="1"/>
    <col min="4" max="4" width="10" customWidth="1"/>
    <col min="5" max="5" width="12.109375" customWidth="1"/>
    <col min="6" max="6" width="13.44140625" customWidth="1"/>
    <col min="7" max="7" width="16.21875" bestFit="1" customWidth="1"/>
    <col min="8" max="8" width="21.77734375" bestFit="1" customWidth="1"/>
  </cols>
  <sheetData>
    <row r="6" spans="1:8" ht="15.6" x14ac:dyDescent="0.3">
      <c r="A6" s="4" t="s">
        <v>85</v>
      </c>
      <c r="B6" s="5"/>
      <c r="C6" s="5"/>
      <c r="D6" s="5"/>
      <c r="E6" s="5"/>
      <c r="F6" s="5"/>
      <c r="G6" s="5"/>
      <c r="H6" s="6"/>
    </row>
    <row r="7" spans="1:8" ht="15.6" x14ac:dyDescent="0.3">
      <c r="A7" s="4" t="s">
        <v>86</v>
      </c>
      <c r="B7" s="5"/>
      <c r="C7" s="5"/>
      <c r="D7" s="5"/>
      <c r="E7" s="5"/>
      <c r="F7" s="5"/>
      <c r="G7" s="5"/>
      <c r="H7" s="6"/>
    </row>
    <row r="8" spans="1:8" x14ac:dyDescent="0.3">
      <c r="A8" s="7" t="s">
        <v>2</v>
      </c>
      <c r="B8" s="8"/>
      <c r="C8" s="8"/>
      <c r="D8" s="8"/>
      <c r="E8" s="8"/>
      <c r="F8" s="8"/>
      <c r="G8" s="8"/>
      <c r="H8" s="9"/>
    </row>
    <row r="9" spans="1:8" x14ac:dyDescent="0.3">
      <c r="A9" s="1"/>
      <c r="B9" s="1" t="s">
        <v>3</v>
      </c>
      <c r="C9" s="1" t="s">
        <v>81</v>
      </c>
      <c r="D9" s="1" t="s">
        <v>82</v>
      </c>
      <c r="E9" s="1" t="s">
        <v>83</v>
      </c>
      <c r="F9" s="1" t="s">
        <v>84</v>
      </c>
      <c r="G9" s="10" t="s">
        <v>87</v>
      </c>
      <c r="H9" s="10" t="s">
        <v>88</v>
      </c>
    </row>
    <row r="10" spans="1:8" x14ac:dyDescent="0.3">
      <c r="A10" s="3">
        <v>1</v>
      </c>
      <c r="B10" s="3" t="s">
        <v>10</v>
      </c>
      <c r="C10" s="2">
        <v>0</v>
      </c>
      <c r="D10" s="2">
        <v>0</v>
      </c>
      <c r="E10" s="2">
        <v>0</v>
      </c>
      <c r="F10" s="2">
        <v>0</v>
      </c>
      <c r="G10" s="3">
        <f t="shared" ref="G10:G41" si="0">SUM(C10:F10)</f>
        <v>0</v>
      </c>
      <c r="H10" s="3">
        <f>G10</f>
        <v>0</v>
      </c>
    </row>
    <row r="11" spans="1:8" x14ac:dyDescent="0.3">
      <c r="A11" s="3">
        <v>2</v>
      </c>
      <c r="B11" s="3" t="s">
        <v>11</v>
      </c>
      <c r="C11" s="2">
        <v>0</v>
      </c>
      <c r="D11" s="2">
        <v>0</v>
      </c>
      <c r="E11" s="2">
        <v>0</v>
      </c>
      <c r="F11" s="2">
        <v>0</v>
      </c>
      <c r="G11" s="3">
        <f t="shared" si="0"/>
        <v>0</v>
      </c>
      <c r="H11" s="3">
        <f t="shared" ref="H11:H42" si="1">G11+H10</f>
        <v>0</v>
      </c>
    </row>
    <row r="12" spans="1:8" x14ac:dyDescent="0.3">
      <c r="A12" s="3">
        <v>3</v>
      </c>
      <c r="B12" s="3" t="s">
        <v>12</v>
      </c>
      <c r="C12" s="2">
        <v>0</v>
      </c>
      <c r="D12" s="2">
        <v>0</v>
      </c>
      <c r="E12" s="2">
        <v>0</v>
      </c>
      <c r="F12" s="2">
        <v>0</v>
      </c>
      <c r="G12" s="3">
        <f t="shared" si="0"/>
        <v>0</v>
      </c>
      <c r="H12" s="3">
        <f t="shared" si="1"/>
        <v>0</v>
      </c>
    </row>
    <row r="13" spans="1:8" x14ac:dyDescent="0.3">
      <c r="A13" s="3">
        <v>4</v>
      </c>
      <c r="B13" s="3" t="s">
        <v>13</v>
      </c>
      <c r="C13" s="2">
        <v>0</v>
      </c>
      <c r="D13" s="2">
        <v>0</v>
      </c>
      <c r="E13" s="2">
        <v>0</v>
      </c>
      <c r="F13" s="2">
        <v>0</v>
      </c>
      <c r="G13" s="3">
        <f t="shared" si="0"/>
        <v>0</v>
      </c>
      <c r="H13" s="3">
        <f t="shared" si="1"/>
        <v>0</v>
      </c>
    </row>
    <row r="14" spans="1:8" x14ac:dyDescent="0.3">
      <c r="A14" s="3">
        <v>5</v>
      </c>
      <c r="B14" s="3" t="s">
        <v>14</v>
      </c>
      <c r="C14" s="2">
        <v>0</v>
      </c>
      <c r="D14" s="2">
        <v>0</v>
      </c>
      <c r="E14" s="2">
        <v>0</v>
      </c>
      <c r="F14" s="2">
        <v>0</v>
      </c>
      <c r="G14" s="3">
        <f t="shared" si="0"/>
        <v>0</v>
      </c>
      <c r="H14" s="3">
        <f t="shared" si="1"/>
        <v>0</v>
      </c>
    </row>
    <row r="15" spans="1:8" x14ac:dyDescent="0.3">
      <c r="A15" s="3">
        <v>6</v>
      </c>
      <c r="B15" s="3" t="s">
        <v>15</v>
      </c>
      <c r="C15" s="2">
        <v>0</v>
      </c>
      <c r="D15" s="2">
        <v>0</v>
      </c>
      <c r="E15" s="2">
        <v>0</v>
      </c>
      <c r="F15" s="2">
        <v>0</v>
      </c>
      <c r="G15" s="3">
        <f t="shared" si="0"/>
        <v>0</v>
      </c>
      <c r="H15" s="3">
        <f t="shared" si="1"/>
        <v>0</v>
      </c>
    </row>
    <row r="16" spans="1:8" x14ac:dyDescent="0.3">
      <c r="A16" s="3">
        <v>7</v>
      </c>
      <c r="B16" s="3" t="s">
        <v>16</v>
      </c>
      <c r="C16" s="2">
        <v>0</v>
      </c>
      <c r="D16" s="2">
        <v>0</v>
      </c>
      <c r="E16" s="2">
        <v>0</v>
      </c>
      <c r="F16" s="2">
        <v>0</v>
      </c>
      <c r="G16" s="3">
        <f t="shared" si="0"/>
        <v>0</v>
      </c>
      <c r="H16" s="3">
        <f t="shared" si="1"/>
        <v>0</v>
      </c>
    </row>
    <row r="17" spans="1:8" x14ac:dyDescent="0.3">
      <c r="A17" s="3">
        <v>8</v>
      </c>
      <c r="B17" s="3" t="s">
        <v>17</v>
      </c>
      <c r="C17" s="2">
        <v>0</v>
      </c>
      <c r="D17" s="2">
        <v>0</v>
      </c>
      <c r="E17" s="2">
        <v>0</v>
      </c>
      <c r="F17" s="2">
        <v>0</v>
      </c>
      <c r="G17" s="3">
        <f t="shared" si="0"/>
        <v>0</v>
      </c>
      <c r="H17" s="3">
        <f t="shared" si="1"/>
        <v>0</v>
      </c>
    </row>
    <row r="18" spans="1:8" x14ac:dyDescent="0.3">
      <c r="A18" s="3">
        <v>9</v>
      </c>
      <c r="B18" s="3" t="s">
        <v>18</v>
      </c>
      <c r="C18" s="2">
        <v>0</v>
      </c>
      <c r="D18" s="2">
        <v>0</v>
      </c>
      <c r="E18" s="2">
        <v>0</v>
      </c>
      <c r="F18" s="2">
        <v>0</v>
      </c>
      <c r="G18" s="3">
        <f t="shared" si="0"/>
        <v>0</v>
      </c>
      <c r="H18" s="3">
        <f t="shared" si="1"/>
        <v>0</v>
      </c>
    </row>
    <row r="19" spans="1:8" x14ac:dyDescent="0.3">
      <c r="A19" s="3">
        <v>10</v>
      </c>
      <c r="B19" s="3" t="s">
        <v>19</v>
      </c>
      <c r="C19" s="2">
        <v>0</v>
      </c>
      <c r="D19" s="2">
        <v>0</v>
      </c>
      <c r="E19" s="2">
        <v>0</v>
      </c>
      <c r="F19" s="2">
        <v>0</v>
      </c>
      <c r="G19" s="3">
        <f t="shared" si="0"/>
        <v>0</v>
      </c>
      <c r="H19" s="3">
        <f t="shared" si="1"/>
        <v>0</v>
      </c>
    </row>
    <row r="20" spans="1:8" x14ac:dyDescent="0.3">
      <c r="A20" s="3">
        <v>11</v>
      </c>
      <c r="B20" s="3" t="s">
        <v>20</v>
      </c>
      <c r="C20" s="2">
        <v>0</v>
      </c>
      <c r="D20" s="2">
        <v>0</v>
      </c>
      <c r="E20" s="2">
        <v>0</v>
      </c>
      <c r="F20" s="2">
        <v>0</v>
      </c>
      <c r="G20" s="3">
        <f t="shared" si="0"/>
        <v>0</v>
      </c>
      <c r="H20" s="3">
        <f t="shared" si="1"/>
        <v>0</v>
      </c>
    </row>
    <row r="21" spans="1:8" x14ac:dyDescent="0.3">
      <c r="A21" s="3">
        <v>12</v>
      </c>
      <c r="B21" s="3" t="s">
        <v>21</v>
      </c>
      <c r="C21" s="2">
        <v>0</v>
      </c>
      <c r="D21" s="2">
        <v>0</v>
      </c>
      <c r="E21" s="2">
        <v>0</v>
      </c>
      <c r="F21" s="2">
        <v>0</v>
      </c>
      <c r="G21" s="3">
        <f t="shared" si="0"/>
        <v>0</v>
      </c>
      <c r="H21" s="3">
        <f t="shared" si="1"/>
        <v>0</v>
      </c>
    </row>
    <row r="22" spans="1:8" x14ac:dyDescent="0.3">
      <c r="A22" s="3">
        <v>13</v>
      </c>
      <c r="B22" s="3" t="s">
        <v>22</v>
      </c>
      <c r="C22" s="2">
        <v>0</v>
      </c>
      <c r="D22" s="2">
        <v>0</v>
      </c>
      <c r="E22" s="2">
        <v>0</v>
      </c>
      <c r="F22" s="2">
        <v>0</v>
      </c>
      <c r="G22" s="3">
        <f t="shared" si="0"/>
        <v>0</v>
      </c>
      <c r="H22" s="3">
        <f t="shared" si="1"/>
        <v>0</v>
      </c>
    </row>
    <row r="23" spans="1:8" x14ac:dyDescent="0.3">
      <c r="A23" s="3">
        <v>14</v>
      </c>
      <c r="B23" s="3" t="s">
        <v>23</v>
      </c>
      <c r="C23" s="2">
        <v>0</v>
      </c>
      <c r="D23" s="2">
        <v>0</v>
      </c>
      <c r="E23" s="2">
        <v>0</v>
      </c>
      <c r="F23" s="2">
        <v>0</v>
      </c>
      <c r="G23" s="3">
        <f t="shared" si="0"/>
        <v>0</v>
      </c>
      <c r="H23" s="3">
        <f t="shared" si="1"/>
        <v>0</v>
      </c>
    </row>
    <row r="24" spans="1:8" x14ac:dyDescent="0.3">
      <c r="A24" s="3">
        <v>15</v>
      </c>
      <c r="B24" s="3" t="s">
        <v>24</v>
      </c>
      <c r="C24" s="2">
        <v>0</v>
      </c>
      <c r="D24" s="2">
        <v>0</v>
      </c>
      <c r="E24" s="2">
        <v>0</v>
      </c>
      <c r="F24" s="2">
        <v>0</v>
      </c>
      <c r="G24" s="3">
        <f t="shared" si="0"/>
        <v>0</v>
      </c>
      <c r="H24" s="3">
        <f t="shared" si="1"/>
        <v>0</v>
      </c>
    </row>
    <row r="25" spans="1:8" x14ac:dyDescent="0.3">
      <c r="A25" s="3">
        <v>16</v>
      </c>
      <c r="B25" s="3" t="s">
        <v>25</v>
      </c>
      <c r="C25" s="2">
        <v>0</v>
      </c>
      <c r="D25" s="2">
        <v>0</v>
      </c>
      <c r="E25" s="2">
        <v>0</v>
      </c>
      <c r="F25" s="2">
        <v>0</v>
      </c>
      <c r="G25" s="3">
        <f t="shared" si="0"/>
        <v>0</v>
      </c>
      <c r="H25" s="3">
        <f t="shared" si="1"/>
        <v>0</v>
      </c>
    </row>
    <row r="26" spans="1:8" x14ac:dyDescent="0.3">
      <c r="A26" s="3">
        <v>17</v>
      </c>
      <c r="B26" s="3" t="s">
        <v>26</v>
      </c>
      <c r="C26" s="2">
        <v>0</v>
      </c>
      <c r="D26" s="2">
        <v>0</v>
      </c>
      <c r="E26" s="2">
        <v>0</v>
      </c>
      <c r="F26" s="2">
        <v>0</v>
      </c>
      <c r="G26" s="3">
        <f t="shared" si="0"/>
        <v>0</v>
      </c>
      <c r="H26" s="3">
        <f t="shared" si="1"/>
        <v>0</v>
      </c>
    </row>
    <row r="27" spans="1:8" x14ac:dyDescent="0.3">
      <c r="A27" s="3">
        <v>18</v>
      </c>
      <c r="B27" s="3" t="s">
        <v>27</v>
      </c>
      <c r="C27" s="2">
        <v>0</v>
      </c>
      <c r="D27" s="2">
        <v>0</v>
      </c>
      <c r="E27" s="2">
        <v>0</v>
      </c>
      <c r="F27" s="2">
        <v>0</v>
      </c>
      <c r="G27" s="3">
        <f t="shared" si="0"/>
        <v>0</v>
      </c>
      <c r="H27" s="3">
        <f t="shared" si="1"/>
        <v>0</v>
      </c>
    </row>
    <row r="28" spans="1:8" x14ac:dyDescent="0.3">
      <c r="A28" s="3">
        <v>19</v>
      </c>
      <c r="B28" s="3" t="s">
        <v>28</v>
      </c>
      <c r="C28" s="2">
        <v>0</v>
      </c>
      <c r="D28" s="2">
        <v>0</v>
      </c>
      <c r="E28" s="2">
        <v>0</v>
      </c>
      <c r="F28" s="2">
        <v>0</v>
      </c>
      <c r="G28" s="3">
        <f t="shared" si="0"/>
        <v>0</v>
      </c>
      <c r="H28" s="3">
        <f t="shared" si="1"/>
        <v>0</v>
      </c>
    </row>
    <row r="29" spans="1:8" x14ac:dyDescent="0.3">
      <c r="A29" s="3">
        <v>20</v>
      </c>
      <c r="B29" s="3" t="s">
        <v>29</v>
      </c>
      <c r="C29" s="2">
        <v>0</v>
      </c>
      <c r="D29" s="2">
        <v>0</v>
      </c>
      <c r="E29" s="2">
        <v>0</v>
      </c>
      <c r="F29" s="2">
        <v>0</v>
      </c>
      <c r="G29" s="3">
        <f t="shared" si="0"/>
        <v>0</v>
      </c>
      <c r="H29" s="3">
        <f t="shared" si="1"/>
        <v>0</v>
      </c>
    </row>
    <row r="30" spans="1:8" x14ac:dyDescent="0.3">
      <c r="A30" s="3">
        <v>21</v>
      </c>
      <c r="B30" s="3" t="s">
        <v>30</v>
      </c>
      <c r="C30" s="2">
        <v>0</v>
      </c>
      <c r="D30" s="2">
        <v>0</v>
      </c>
      <c r="E30" s="2">
        <v>0</v>
      </c>
      <c r="F30" s="2">
        <v>0</v>
      </c>
      <c r="G30" s="3">
        <f t="shared" si="0"/>
        <v>0</v>
      </c>
      <c r="H30" s="3">
        <f t="shared" si="1"/>
        <v>0</v>
      </c>
    </row>
    <row r="31" spans="1:8" x14ac:dyDescent="0.3">
      <c r="A31" s="3">
        <v>22</v>
      </c>
      <c r="B31" s="3" t="s">
        <v>31</v>
      </c>
      <c r="C31" s="2">
        <v>0</v>
      </c>
      <c r="D31" s="2">
        <v>0</v>
      </c>
      <c r="E31" s="2">
        <v>0</v>
      </c>
      <c r="F31" s="2">
        <v>0</v>
      </c>
      <c r="G31" s="3">
        <f t="shared" si="0"/>
        <v>0</v>
      </c>
      <c r="H31" s="3">
        <f t="shared" si="1"/>
        <v>0</v>
      </c>
    </row>
    <row r="32" spans="1:8" x14ac:dyDescent="0.3">
      <c r="A32" s="3">
        <v>23</v>
      </c>
      <c r="B32" s="3" t="s">
        <v>32</v>
      </c>
      <c r="C32" s="2">
        <v>0</v>
      </c>
      <c r="D32" s="2">
        <v>0</v>
      </c>
      <c r="E32" s="2">
        <v>0</v>
      </c>
      <c r="F32" s="2">
        <v>0</v>
      </c>
      <c r="G32" s="3">
        <f t="shared" si="0"/>
        <v>0</v>
      </c>
      <c r="H32" s="3">
        <f t="shared" si="1"/>
        <v>0</v>
      </c>
    </row>
    <row r="33" spans="1:8" x14ac:dyDescent="0.3">
      <c r="A33" s="3">
        <v>24</v>
      </c>
      <c r="B33" s="3" t="s">
        <v>33</v>
      </c>
      <c r="C33" s="2">
        <v>0</v>
      </c>
      <c r="D33" s="2">
        <v>0</v>
      </c>
      <c r="E33" s="2">
        <v>0</v>
      </c>
      <c r="F33" s="2">
        <v>0</v>
      </c>
      <c r="G33" s="3">
        <f t="shared" si="0"/>
        <v>0</v>
      </c>
      <c r="H33" s="3">
        <f t="shared" si="1"/>
        <v>0</v>
      </c>
    </row>
    <row r="34" spans="1:8" x14ac:dyDescent="0.3">
      <c r="A34" s="3">
        <v>25</v>
      </c>
      <c r="B34" s="3" t="s">
        <v>34</v>
      </c>
      <c r="C34" s="2">
        <v>0</v>
      </c>
      <c r="D34" s="2">
        <v>0</v>
      </c>
      <c r="E34" s="2">
        <v>0</v>
      </c>
      <c r="F34" s="2">
        <v>0</v>
      </c>
      <c r="G34" s="3">
        <f t="shared" si="0"/>
        <v>0</v>
      </c>
      <c r="H34" s="3">
        <f t="shared" si="1"/>
        <v>0</v>
      </c>
    </row>
    <row r="35" spans="1:8" x14ac:dyDescent="0.3">
      <c r="A35" s="3">
        <v>26</v>
      </c>
      <c r="B35" s="3" t="s">
        <v>35</v>
      </c>
      <c r="C35" s="2">
        <v>0</v>
      </c>
      <c r="D35" s="2">
        <v>0</v>
      </c>
      <c r="E35" s="2">
        <v>0</v>
      </c>
      <c r="F35" s="2">
        <v>0</v>
      </c>
      <c r="G35" s="3">
        <f t="shared" si="0"/>
        <v>0</v>
      </c>
      <c r="H35" s="3">
        <f t="shared" si="1"/>
        <v>0</v>
      </c>
    </row>
    <row r="36" spans="1:8" x14ac:dyDescent="0.3">
      <c r="A36" s="3">
        <v>27</v>
      </c>
      <c r="B36" s="3" t="s">
        <v>36</v>
      </c>
      <c r="C36" s="2">
        <v>0</v>
      </c>
      <c r="D36" s="2">
        <v>0</v>
      </c>
      <c r="E36" s="2">
        <v>0</v>
      </c>
      <c r="F36" s="2">
        <v>0</v>
      </c>
      <c r="G36" s="3">
        <f t="shared" si="0"/>
        <v>0</v>
      </c>
      <c r="H36" s="3">
        <f t="shared" si="1"/>
        <v>0</v>
      </c>
    </row>
    <row r="37" spans="1:8" x14ac:dyDescent="0.3">
      <c r="A37" s="3">
        <v>28</v>
      </c>
      <c r="B37" s="3" t="s">
        <v>37</v>
      </c>
      <c r="C37" s="2">
        <v>0</v>
      </c>
      <c r="D37" s="2">
        <v>0</v>
      </c>
      <c r="E37" s="2">
        <v>0</v>
      </c>
      <c r="F37" s="2">
        <v>0</v>
      </c>
      <c r="G37" s="3">
        <f t="shared" si="0"/>
        <v>0</v>
      </c>
      <c r="H37" s="3">
        <f t="shared" si="1"/>
        <v>0</v>
      </c>
    </row>
    <row r="38" spans="1:8" x14ac:dyDescent="0.3">
      <c r="A38" s="3">
        <v>29</v>
      </c>
      <c r="B38" s="3" t="s">
        <v>38</v>
      </c>
      <c r="C38" s="2">
        <v>0</v>
      </c>
      <c r="D38" s="2">
        <v>0</v>
      </c>
      <c r="E38" s="2">
        <v>0</v>
      </c>
      <c r="F38" s="2">
        <v>0</v>
      </c>
      <c r="G38" s="3">
        <f t="shared" si="0"/>
        <v>0</v>
      </c>
      <c r="H38" s="3">
        <f t="shared" si="1"/>
        <v>0</v>
      </c>
    </row>
    <row r="39" spans="1:8" x14ac:dyDescent="0.3">
      <c r="A39" s="3">
        <v>30</v>
      </c>
      <c r="B39" s="3" t="s">
        <v>39</v>
      </c>
      <c r="C39" s="2">
        <v>0</v>
      </c>
      <c r="D39" s="2">
        <v>0</v>
      </c>
      <c r="E39" s="2">
        <v>0</v>
      </c>
      <c r="F39" s="2">
        <v>0</v>
      </c>
      <c r="G39" s="3">
        <f t="shared" si="0"/>
        <v>0</v>
      </c>
      <c r="H39" s="3">
        <f t="shared" si="1"/>
        <v>0</v>
      </c>
    </row>
    <row r="40" spans="1:8" x14ac:dyDescent="0.3">
      <c r="A40" s="3">
        <v>31</v>
      </c>
      <c r="B40" s="3" t="s">
        <v>40</v>
      </c>
      <c r="C40" s="2">
        <v>0</v>
      </c>
      <c r="D40" s="2">
        <v>0</v>
      </c>
      <c r="E40" s="2">
        <v>0</v>
      </c>
      <c r="F40" s="2">
        <v>0</v>
      </c>
      <c r="G40" s="3">
        <f t="shared" si="0"/>
        <v>0</v>
      </c>
      <c r="H40" s="3">
        <f t="shared" si="1"/>
        <v>0</v>
      </c>
    </row>
    <row r="41" spans="1:8" x14ac:dyDescent="0.3">
      <c r="A41" s="3">
        <v>32</v>
      </c>
      <c r="B41" s="3" t="s">
        <v>41</v>
      </c>
      <c r="C41" s="2">
        <v>0</v>
      </c>
      <c r="D41" s="2">
        <v>0</v>
      </c>
      <c r="E41" s="2">
        <v>0</v>
      </c>
      <c r="F41" s="2">
        <v>0</v>
      </c>
      <c r="G41" s="3">
        <f t="shared" si="0"/>
        <v>0</v>
      </c>
      <c r="H41" s="3">
        <f t="shared" si="1"/>
        <v>0</v>
      </c>
    </row>
    <row r="42" spans="1:8" x14ac:dyDescent="0.3">
      <c r="A42" s="3">
        <v>33</v>
      </c>
      <c r="B42" s="3" t="s">
        <v>42</v>
      </c>
      <c r="C42" s="2">
        <v>0</v>
      </c>
      <c r="D42" s="2">
        <v>0</v>
      </c>
      <c r="E42" s="2">
        <v>0</v>
      </c>
      <c r="F42" s="2">
        <v>0</v>
      </c>
      <c r="G42" s="3">
        <f t="shared" ref="G42:G73" si="2">SUM(C42:F42)</f>
        <v>0</v>
      </c>
      <c r="H42" s="3">
        <f t="shared" si="1"/>
        <v>0</v>
      </c>
    </row>
    <row r="43" spans="1:8" x14ac:dyDescent="0.3">
      <c r="A43" s="3">
        <v>34</v>
      </c>
      <c r="B43" s="3" t="s">
        <v>43</v>
      </c>
      <c r="C43" s="2">
        <v>0</v>
      </c>
      <c r="D43" s="2">
        <v>0</v>
      </c>
      <c r="E43" s="2">
        <v>0</v>
      </c>
      <c r="F43" s="2">
        <v>0</v>
      </c>
      <c r="G43" s="3">
        <f t="shared" si="2"/>
        <v>0</v>
      </c>
      <c r="H43" s="3">
        <f t="shared" ref="H43:H74" si="3">G43+H42</f>
        <v>0</v>
      </c>
    </row>
    <row r="44" spans="1:8" x14ac:dyDescent="0.3">
      <c r="A44" s="3">
        <v>35</v>
      </c>
      <c r="B44" s="3" t="s">
        <v>44</v>
      </c>
      <c r="C44" s="2">
        <v>0</v>
      </c>
      <c r="D44" s="2">
        <v>0</v>
      </c>
      <c r="E44" s="2">
        <v>0</v>
      </c>
      <c r="F44" s="2">
        <v>0</v>
      </c>
      <c r="G44" s="3">
        <f t="shared" si="2"/>
        <v>0</v>
      </c>
      <c r="H44" s="3">
        <f t="shared" si="3"/>
        <v>0</v>
      </c>
    </row>
    <row r="45" spans="1:8" x14ac:dyDescent="0.3">
      <c r="A45" s="3">
        <v>36</v>
      </c>
      <c r="B45" s="3" t="s">
        <v>45</v>
      </c>
      <c r="C45" s="2">
        <v>0</v>
      </c>
      <c r="D45" s="2">
        <v>0</v>
      </c>
      <c r="E45" s="2">
        <v>0</v>
      </c>
      <c r="F45" s="2">
        <v>0</v>
      </c>
      <c r="G45" s="3">
        <f t="shared" si="2"/>
        <v>0</v>
      </c>
      <c r="H45" s="3">
        <f t="shared" si="3"/>
        <v>0</v>
      </c>
    </row>
    <row r="46" spans="1:8" x14ac:dyDescent="0.3">
      <c r="A46" s="3">
        <v>37</v>
      </c>
      <c r="B46" s="3" t="s">
        <v>46</v>
      </c>
      <c r="C46" s="2">
        <v>0</v>
      </c>
      <c r="D46" s="2">
        <v>0</v>
      </c>
      <c r="E46" s="2">
        <v>0</v>
      </c>
      <c r="F46" s="2">
        <v>0</v>
      </c>
      <c r="G46" s="3">
        <f t="shared" si="2"/>
        <v>0</v>
      </c>
      <c r="H46" s="3">
        <f t="shared" si="3"/>
        <v>0</v>
      </c>
    </row>
    <row r="47" spans="1:8" x14ac:dyDescent="0.3">
      <c r="A47" s="3">
        <v>38</v>
      </c>
      <c r="B47" s="3" t="s">
        <v>47</v>
      </c>
      <c r="C47" s="2">
        <v>0</v>
      </c>
      <c r="D47" s="2">
        <v>0</v>
      </c>
      <c r="E47" s="2">
        <v>0</v>
      </c>
      <c r="F47" s="2">
        <v>0</v>
      </c>
      <c r="G47" s="3">
        <f t="shared" si="2"/>
        <v>0</v>
      </c>
      <c r="H47" s="3">
        <f t="shared" si="3"/>
        <v>0</v>
      </c>
    </row>
    <row r="48" spans="1:8" x14ac:dyDescent="0.3">
      <c r="A48" s="3">
        <v>39</v>
      </c>
      <c r="B48" s="3" t="s">
        <v>48</v>
      </c>
      <c r="C48" s="2">
        <v>0</v>
      </c>
      <c r="D48" s="2">
        <v>0</v>
      </c>
      <c r="E48" s="2">
        <v>0</v>
      </c>
      <c r="F48" s="2">
        <v>0</v>
      </c>
      <c r="G48" s="3">
        <f t="shared" si="2"/>
        <v>0</v>
      </c>
      <c r="H48" s="3">
        <f t="shared" si="3"/>
        <v>0</v>
      </c>
    </row>
    <row r="49" spans="1:8" x14ac:dyDescent="0.3">
      <c r="A49" s="3">
        <v>40</v>
      </c>
      <c r="B49" s="3" t="s">
        <v>49</v>
      </c>
      <c r="C49" s="2">
        <v>0</v>
      </c>
      <c r="D49" s="2">
        <v>0</v>
      </c>
      <c r="E49" s="2">
        <v>0</v>
      </c>
      <c r="F49" s="2">
        <v>0</v>
      </c>
      <c r="G49" s="3">
        <f t="shared" si="2"/>
        <v>0</v>
      </c>
      <c r="H49" s="3">
        <f t="shared" si="3"/>
        <v>0</v>
      </c>
    </row>
    <row r="50" spans="1:8" x14ac:dyDescent="0.3">
      <c r="A50" s="3">
        <v>41</v>
      </c>
      <c r="B50" s="3" t="s">
        <v>50</v>
      </c>
      <c r="C50" s="2">
        <v>0</v>
      </c>
      <c r="D50" s="2">
        <v>0</v>
      </c>
      <c r="E50" s="2">
        <v>0</v>
      </c>
      <c r="F50" s="2">
        <v>0</v>
      </c>
      <c r="G50" s="3">
        <f t="shared" si="2"/>
        <v>0</v>
      </c>
      <c r="H50" s="3">
        <f t="shared" si="3"/>
        <v>0</v>
      </c>
    </row>
    <row r="51" spans="1:8" x14ac:dyDescent="0.3">
      <c r="A51" s="3">
        <v>42</v>
      </c>
      <c r="B51" s="3" t="s">
        <v>51</v>
      </c>
      <c r="C51" s="2">
        <v>0</v>
      </c>
      <c r="D51" s="2">
        <v>0</v>
      </c>
      <c r="E51" s="2">
        <v>0</v>
      </c>
      <c r="F51" s="2">
        <v>0</v>
      </c>
      <c r="G51" s="3">
        <f t="shared" si="2"/>
        <v>0</v>
      </c>
      <c r="H51" s="3">
        <f t="shared" si="3"/>
        <v>0</v>
      </c>
    </row>
    <row r="52" spans="1:8" x14ac:dyDescent="0.3">
      <c r="A52" s="3">
        <v>43</v>
      </c>
      <c r="B52" s="3" t="s">
        <v>52</v>
      </c>
      <c r="C52" s="2">
        <v>0</v>
      </c>
      <c r="D52" s="2">
        <v>0</v>
      </c>
      <c r="E52" s="2">
        <v>0</v>
      </c>
      <c r="F52" s="2">
        <v>0</v>
      </c>
      <c r="G52" s="3">
        <f t="shared" si="2"/>
        <v>0</v>
      </c>
      <c r="H52" s="3">
        <f t="shared" si="3"/>
        <v>0</v>
      </c>
    </row>
    <row r="53" spans="1:8" x14ac:dyDescent="0.3">
      <c r="A53" s="3">
        <v>44</v>
      </c>
      <c r="B53" s="3" t="s">
        <v>53</v>
      </c>
      <c r="C53" s="2">
        <v>0</v>
      </c>
      <c r="D53" s="2">
        <v>0</v>
      </c>
      <c r="E53" s="2">
        <v>0</v>
      </c>
      <c r="F53" s="2">
        <v>0</v>
      </c>
      <c r="G53" s="3">
        <f t="shared" si="2"/>
        <v>0</v>
      </c>
      <c r="H53" s="3">
        <f t="shared" si="3"/>
        <v>0</v>
      </c>
    </row>
    <row r="54" spans="1:8" x14ac:dyDescent="0.3">
      <c r="A54" s="3">
        <v>45</v>
      </c>
      <c r="B54" s="3" t="s">
        <v>54</v>
      </c>
      <c r="C54" s="2">
        <v>0</v>
      </c>
      <c r="D54" s="2">
        <v>0</v>
      </c>
      <c r="E54" s="2">
        <v>0</v>
      </c>
      <c r="F54" s="2">
        <v>0</v>
      </c>
      <c r="G54" s="3">
        <f t="shared" si="2"/>
        <v>0</v>
      </c>
      <c r="H54" s="3">
        <f t="shared" si="3"/>
        <v>0</v>
      </c>
    </row>
    <row r="55" spans="1:8" x14ac:dyDescent="0.3">
      <c r="A55" s="3">
        <v>46</v>
      </c>
      <c r="B55" s="3" t="s">
        <v>55</v>
      </c>
      <c r="C55" s="2">
        <v>0</v>
      </c>
      <c r="D55" s="2">
        <v>0</v>
      </c>
      <c r="E55" s="2">
        <v>0</v>
      </c>
      <c r="F55" s="2">
        <v>0</v>
      </c>
      <c r="G55" s="3">
        <f t="shared" si="2"/>
        <v>0</v>
      </c>
      <c r="H55" s="3">
        <f t="shared" si="3"/>
        <v>0</v>
      </c>
    </row>
    <row r="56" spans="1:8" x14ac:dyDescent="0.3">
      <c r="A56" s="3">
        <v>47</v>
      </c>
      <c r="B56" s="3" t="s">
        <v>56</v>
      </c>
      <c r="C56" s="2">
        <v>0</v>
      </c>
      <c r="D56" s="2">
        <v>0</v>
      </c>
      <c r="E56" s="2">
        <v>0</v>
      </c>
      <c r="F56" s="2">
        <v>0</v>
      </c>
      <c r="G56" s="3">
        <f t="shared" si="2"/>
        <v>0</v>
      </c>
      <c r="H56" s="3">
        <f t="shared" si="3"/>
        <v>0</v>
      </c>
    </row>
    <row r="57" spans="1:8" x14ac:dyDescent="0.3">
      <c r="A57" s="3">
        <v>48</v>
      </c>
      <c r="B57" s="3" t="s">
        <v>57</v>
      </c>
      <c r="C57" s="2">
        <v>0</v>
      </c>
      <c r="D57" s="2">
        <v>0</v>
      </c>
      <c r="E57" s="2">
        <v>0</v>
      </c>
      <c r="F57" s="2">
        <v>0</v>
      </c>
      <c r="G57" s="3">
        <f t="shared" si="2"/>
        <v>0</v>
      </c>
      <c r="H57" s="3">
        <f t="shared" si="3"/>
        <v>0</v>
      </c>
    </row>
    <row r="58" spans="1:8" x14ac:dyDescent="0.3">
      <c r="A58" s="3">
        <v>49</v>
      </c>
      <c r="B58" s="3" t="s">
        <v>58</v>
      </c>
      <c r="C58" s="2">
        <v>0</v>
      </c>
      <c r="D58" s="2">
        <v>0</v>
      </c>
      <c r="E58" s="2">
        <v>0</v>
      </c>
      <c r="F58" s="2">
        <v>0</v>
      </c>
      <c r="G58" s="3">
        <f t="shared" si="2"/>
        <v>0</v>
      </c>
      <c r="H58" s="3">
        <f t="shared" si="3"/>
        <v>0</v>
      </c>
    </row>
    <row r="59" spans="1:8" x14ac:dyDescent="0.3">
      <c r="A59" s="3">
        <v>50</v>
      </c>
      <c r="B59" s="3" t="s">
        <v>59</v>
      </c>
      <c r="C59" s="2">
        <v>0</v>
      </c>
      <c r="D59" s="2">
        <v>0</v>
      </c>
      <c r="E59" s="2">
        <v>0</v>
      </c>
      <c r="F59" s="2">
        <v>0</v>
      </c>
      <c r="G59" s="3">
        <f t="shared" si="2"/>
        <v>0</v>
      </c>
      <c r="H59" s="3">
        <f t="shared" si="3"/>
        <v>0</v>
      </c>
    </row>
    <row r="60" spans="1:8" x14ac:dyDescent="0.3">
      <c r="A60" s="3">
        <v>51</v>
      </c>
      <c r="B60" s="3" t="s">
        <v>60</v>
      </c>
      <c r="C60" s="2">
        <v>0</v>
      </c>
      <c r="D60" s="2">
        <v>0</v>
      </c>
      <c r="E60" s="2">
        <v>0</v>
      </c>
      <c r="F60" s="2">
        <v>0</v>
      </c>
      <c r="G60" s="3">
        <f t="shared" si="2"/>
        <v>0</v>
      </c>
      <c r="H60" s="3">
        <f t="shared" si="3"/>
        <v>0</v>
      </c>
    </row>
    <row r="61" spans="1:8" x14ac:dyDescent="0.3">
      <c r="A61" s="3">
        <v>52</v>
      </c>
      <c r="B61" s="3" t="s">
        <v>61</v>
      </c>
      <c r="C61" s="2">
        <v>0</v>
      </c>
      <c r="D61" s="2">
        <v>0</v>
      </c>
      <c r="E61" s="2">
        <v>0</v>
      </c>
      <c r="F61" s="2">
        <v>0</v>
      </c>
      <c r="G61" s="3">
        <f t="shared" si="2"/>
        <v>0</v>
      </c>
      <c r="H61" s="3">
        <f t="shared" si="3"/>
        <v>0</v>
      </c>
    </row>
    <row r="62" spans="1:8" x14ac:dyDescent="0.3">
      <c r="A62" s="3" t="s">
        <v>2</v>
      </c>
      <c r="B62" s="3" t="s">
        <v>62</v>
      </c>
      <c r="C62" s="3">
        <f>SUM(C10:C61)</f>
        <v>0</v>
      </c>
      <c r="D62" s="3">
        <f>SUM(D10:D61)</f>
        <v>0</v>
      </c>
      <c r="E62" s="3">
        <f>SUM(E10:E61)</f>
        <v>0</v>
      </c>
      <c r="F62" s="3">
        <f>SUM(F10:F61)</f>
        <v>0</v>
      </c>
      <c r="G62" s="3">
        <f>SUM(G10:G61)</f>
        <v>0</v>
      </c>
      <c r="H62" s="3"/>
    </row>
  </sheetData>
  <mergeCells count="3">
    <mergeCell ref="A6:H6"/>
    <mergeCell ref="A7:H7"/>
    <mergeCell ref="A8:H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ECE796D7EABA42BC0DB2CA73C7CE00" ma:contentTypeVersion="16" ma:contentTypeDescription="Create a new document." ma:contentTypeScope="" ma:versionID="e2ecee1b3d34a959aed38d5dc4c878f4">
  <xsd:schema xmlns:xsd="http://www.w3.org/2001/XMLSchema" xmlns:xs="http://www.w3.org/2001/XMLSchema" xmlns:p="http://schemas.microsoft.com/office/2006/metadata/properties" xmlns:ns2="3fe4ae0e-3af2-48f1-b2fd-da4a302e5eb8" xmlns:ns3="ae149517-eeaa-465d-b3b6-396a1e23bc6e" targetNamespace="http://schemas.microsoft.com/office/2006/metadata/properties" ma:root="true" ma:fieldsID="9af26d9f7c79c0f2a842447557dfee25" ns2:_="" ns3:_="">
    <xsd:import namespace="3fe4ae0e-3af2-48f1-b2fd-da4a302e5eb8"/>
    <xsd:import namespace="ae149517-eeaa-465d-b3b6-396a1e23bc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e4ae0e-3af2-48f1-b2fd-da4a302e5e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8c2128d-7fdb-466e-89f3-d531dbcf02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149517-eeaa-465d-b3b6-396a1e23bc6e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8cce5955-1f8d-479c-a449-cd7312e93e68}" ma:internalName="TaxCatchAll" ma:showField="CatchAllData" ma:web="ae149517-eeaa-465d-b3b6-396a1e23bc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e149517-eeaa-465d-b3b6-396a1e23bc6e" xsi:nil="true"/>
    <lcf76f155ced4ddcb4097134ff3c332f xmlns="3fe4ae0e-3af2-48f1-b2fd-da4a302e5e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2205B0-97C2-443F-84E5-2D01D8B12C4B}"/>
</file>

<file path=customXml/itemProps2.xml><?xml version="1.0" encoding="utf-8"?>
<ds:datastoreItem xmlns:ds="http://schemas.openxmlformats.org/officeDocument/2006/customXml" ds:itemID="{2FC78E1B-0DD5-41E9-ADD1-9391076D9F64}"/>
</file>

<file path=customXml/itemProps3.xml><?xml version="1.0" encoding="utf-8"?>
<ds:datastoreItem xmlns:ds="http://schemas.openxmlformats.org/officeDocument/2006/customXml" ds:itemID="{9D1F5326-3F1A-4EA2-9E90-9D22EB8F3E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RSA EXPORTS</vt:lpstr>
      <vt:lpstr>IMPORTS FOR RSA</vt:lpstr>
      <vt:lpstr>IMPORTS FOR OTHER COUNTRIES</vt:lpstr>
      <vt:lpstr>EXPORTS OF IMPORTED WHEAT</vt:lpstr>
      <vt:lpstr>IMPORTS PER HARBOUR</vt:lpstr>
      <vt:lpstr>EXPORT PER HARBOUR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Willemse</dc:creator>
  <cp:lastModifiedBy>Ben Willemse</cp:lastModifiedBy>
  <dcterms:created xsi:type="dcterms:W3CDTF">2024-11-21T08:12:42Z</dcterms:created>
  <dcterms:modified xsi:type="dcterms:W3CDTF">2024-11-21T08:12:42Z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0x01010075ECE796D7EABA42BC0DB2CA73C7CE00</vt:lpwstr>
  </property>
  <property fmtid="{D5CDD505-2E9C-101B-9397-08002B2CF9AE}" pid="3" name="MediaServiceImageTags">
    <vt:lpwstr/>
  </property>
</Properties>
</file>