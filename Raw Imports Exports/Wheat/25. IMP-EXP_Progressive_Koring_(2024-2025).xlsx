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Weekliks\In-en Uitvoere\Koring\"/>
    </mc:Choice>
  </mc:AlternateContent>
  <xr:revisionPtr revIDLastSave="0" documentId="8_{A08FFEAB-158E-4383-B293-EC1E68FFA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SA EXPORTS" sheetId="1" r:id="rId1"/>
    <sheet name="IMPORTS FOR RSA" sheetId="2" r:id="rId2"/>
    <sheet name="IMPORTS FOR OTHER COUNTRIES" sheetId="3" r:id="rId3"/>
    <sheet name="EXPORTS OF IMPORTED WHEAT" sheetId="4" r:id="rId4"/>
    <sheet name="IMPORTS PER HARBOUR" sheetId="5" r:id="rId5"/>
    <sheet name="EXPORT PER HARBOU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6" l="1"/>
  <c r="E62" i="6"/>
  <c r="D62" i="6"/>
  <c r="C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H13" i="6" s="1"/>
  <c r="G12" i="6"/>
  <c r="H12" i="6" s="1"/>
  <c r="G11" i="6"/>
  <c r="H11" i="6" s="1"/>
  <c r="H10" i="6"/>
  <c r="G10" i="6"/>
  <c r="F62" i="5"/>
  <c r="E62" i="5"/>
  <c r="D62" i="5"/>
  <c r="C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H11" i="5" s="1"/>
  <c r="H10" i="5"/>
  <c r="G10" i="5"/>
  <c r="I62" i="4"/>
  <c r="H62" i="4"/>
  <c r="G62" i="4"/>
  <c r="F62" i="4"/>
  <c r="E62" i="4"/>
  <c r="D62" i="4"/>
  <c r="C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62" i="3"/>
  <c r="I62" i="3"/>
  <c r="H62" i="3"/>
  <c r="G62" i="3"/>
  <c r="F62" i="3"/>
  <c r="E62" i="3"/>
  <c r="D62" i="3"/>
  <c r="C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L62" i="2"/>
  <c r="K62" i="2"/>
  <c r="J62" i="2"/>
  <c r="I62" i="2"/>
  <c r="H62" i="2"/>
  <c r="G62" i="2"/>
  <c r="F62" i="2"/>
  <c r="E62" i="2"/>
  <c r="D62" i="2"/>
  <c r="C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I62" i="1"/>
  <c r="H62" i="1"/>
  <c r="G62" i="1"/>
  <c r="F62" i="1"/>
  <c r="E62" i="1"/>
  <c r="D62" i="1"/>
  <c r="C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K62" i="3" l="1"/>
  <c r="J62" i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H12" i="5"/>
  <c r="H14" i="6"/>
  <c r="H15" i="5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M62" i="2"/>
  <c r="L10" i="3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H13" i="5"/>
  <c r="H14" i="5"/>
  <c r="H15" i="6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J62" i="4"/>
  <c r="K10" i="4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G62" i="5"/>
  <c r="G62" i="6"/>
</calcChain>
</file>

<file path=xl/sharedStrings.xml><?xml version="1.0" encoding="utf-8"?>
<sst xmlns="http://schemas.openxmlformats.org/spreadsheetml/2006/main" count="402" uniqueCount="95">
  <si>
    <t>WHEAT: RSA EXPORTS - 2024/25 SEASON</t>
  </si>
  <si>
    <t>KORING: RSA UITVOERE - 2024/25 SEISOEN</t>
  </si>
  <si>
    <t/>
  </si>
  <si>
    <t>Week</t>
  </si>
  <si>
    <t>BOTSWANA</t>
  </si>
  <si>
    <t>ESWATINI (SWAZILAND)</t>
  </si>
  <si>
    <t>LESOTHO</t>
  </si>
  <si>
    <t>MOZAMBIQUE</t>
  </si>
  <si>
    <t>NAMIBIA</t>
  </si>
  <si>
    <t>ZAMBIA</t>
  </si>
  <si>
    <t>ZIMBABWE</t>
  </si>
  <si>
    <t>28 Sep - 04 Oct/Okt 2024</t>
  </si>
  <si>
    <t>05 Oct/Okt - 11 Oct/Okt 2024</t>
  </si>
  <si>
    <t>12 Oct/Okt - 18 Oct/Okt 2024</t>
  </si>
  <si>
    <t>19 Oct/Okt - 25 Oct/Okt 2024</t>
  </si>
  <si>
    <t>26 Oct/Okt - 01 Nov 2024</t>
  </si>
  <si>
    <t>02 Nov - 08 Nov 2024</t>
  </si>
  <si>
    <t>09 Nov - 15 Nov 2024</t>
  </si>
  <si>
    <t>16 Nov - 22 Nov 2024</t>
  </si>
  <si>
    <t>23 Nov - 29 Nov 2024</t>
  </si>
  <si>
    <t>30 Nov - 06 Dec/Des 2024</t>
  </si>
  <si>
    <t>07 Dec/Des - 13 Dec/Des 2024</t>
  </si>
  <si>
    <t>14 Dec/Des - 20 Dec/Des 2024</t>
  </si>
  <si>
    <t>21 Dec/Des - 27 Dec/Des 2024</t>
  </si>
  <si>
    <t>28 Dec/Des - 03 Jan 2025</t>
  </si>
  <si>
    <t>04 Jan - 10 Jan 2025</t>
  </si>
  <si>
    <t>11 Jan - 17 Jan 2025</t>
  </si>
  <si>
    <t>18 Jan - 24 Jan 2025</t>
  </si>
  <si>
    <t>25 Jan - 31 Jan 2025</t>
  </si>
  <si>
    <t>01 Feb - 07 Feb 2025</t>
  </si>
  <si>
    <t>08 Feb - 14 Feb 2025</t>
  </si>
  <si>
    <t>15 Feb - 21 Feb 2025</t>
  </si>
  <si>
    <t>22 Feb - 28 Feb 2025</t>
  </si>
  <si>
    <t>01 Mar - 07 Mar 2025</t>
  </si>
  <si>
    <t>08 Mar - 14 Mar 2025</t>
  </si>
  <si>
    <t>15 Mar - 21 Mar 2025</t>
  </si>
  <si>
    <t>22 Mar - 28 Mar 2025</t>
  </si>
  <si>
    <t>29 Mar - 04 Apr 2025</t>
  </si>
  <si>
    <t>05 Apr - 11 Apr 2025</t>
  </si>
  <si>
    <t>12 Apr - 18 Apr 2025</t>
  </si>
  <si>
    <t>19 Apr - 25 Apr 2025</t>
  </si>
  <si>
    <t>26 Apr - 02 May/Mei 2025</t>
  </si>
  <si>
    <t>03 May/Mei - 09 May/Mei 2025</t>
  </si>
  <si>
    <t>10 May/Mei - 16 May/Mei 2025</t>
  </si>
  <si>
    <t>17 May/Mei - 23 May/Mei 2025</t>
  </si>
  <si>
    <t>24 May/Mei - 30 May/Mei 2025</t>
  </si>
  <si>
    <t>31 May/Mei - 06 Jun 2025</t>
  </si>
  <si>
    <t>07 Jun - 13 Jun 2025</t>
  </si>
  <si>
    <t>14 Jun - 20 Jun 2025</t>
  </si>
  <si>
    <t>21 Jun - 27 Jun 2025</t>
  </si>
  <si>
    <t>28 Jun - 04 Jul 2025</t>
  </si>
  <si>
    <t>05 Jul - 11 Jul 2025</t>
  </si>
  <si>
    <t>12 Jul - 18 Jul 2025</t>
  </si>
  <si>
    <t>19 Jul - 25 Jul 2025</t>
  </si>
  <si>
    <t>26 Jul - 01 Aug 2025</t>
  </si>
  <si>
    <t>02 Aug - 08 Aug 2025</t>
  </si>
  <si>
    <t>09 Aug - 15 Aug 2025</t>
  </si>
  <si>
    <t>16 Aug - 22 Aug 2025</t>
  </si>
  <si>
    <t>23 Aug - 29 Aug 2025</t>
  </si>
  <si>
    <t>30 Aug - 05 Sep 2025</t>
  </si>
  <si>
    <t>06 Sep - 12 Sep 2025</t>
  </si>
  <si>
    <t>13 Sep - 19 Sep 2025</t>
  </si>
  <si>
    <t>20 Sep - 26 Sep 2025</t>
  </si>
  <si>
    <t>Total</t>
  </si>
  <si>
    <t>WHEAT: WEEKLY IMPORTS FOR RSA - 2024/25 SEASON</t>
  </si>
  <si>
    <t>KORING: WEEKLIKSE INVOERE VIR RSA - 2024/25 SEISOEN</t>
  </si>
  <si>
    <t>ARGENTINA</t>
  </si>
  <si>
    <t>AUSTRALIA</t>
  </si>
  <si>
    <t>CANADA</t>
  </si>
  <si>
    <t>GERMANY</t>
  </si>
  <si>
    <t>LATVIA</t>
  </si>
  <si>
    <t>LITHUANIA</t>
  </si>
  <si>
    <t>POLAND</t>
  </si>
  <si>
    <t>ROMANIA</t>
  </si>
  <si>
    <t>RUSSIAN FEDERATION</t>
  </si>
  <si>
    <t>UNITED STATES</t>
  </si>
  <si>
    <t>WHEAT: WEEKLY IMPORTS FOR OTHER COUNTRIES - 2024/25 SEASON</t>
  </si>
  <si>
    <t>KORING: WEEKLIKSE INVOERE VIR ANDER LANDE - 2024/25 SEISOEN</t>
  </si>
  <si>
    <t>WHEAT: EXPORTS OF IMPORTED WHEAT - 2024/25 SEASON</t>
  </si>
  <si>
    <t>KORING: UITVOERE VAN INGEVOERDE KORING - 2024/25 SEISOEN</t>
  </si>
  <si>
    <t>WHEAT: WEEKLY IMPORT PER HARBOUR - 2024/25 SEASON</t>
  </si>
  <si>
    <t>KORING: WEEKLIKSE INVOER PER HAWE - 2024/25 SEISOEN</t>
  </si>
  <si>
    <t>Cape Town</t>
  </si>
  <si>
    <t>Durban</t>
  </si>
  <si>
    <t>East London</t>
  </si>
  <si>
    <t>Port Elizabeth</t>
  </si>
  <si>
    <t>WHEAT: WEEKLY EXPORT PER HARBOUR - 2024/25 SEASON</t>
  </si>
  <si>
    <t>KORING: WEEKLIKSE UITVOER PER HAWE - 2024/25 SEISOEN</t>
  </si>
  <si>
    <t>Week Total/Totaal</t>
  </si>
  <si>
    <t>Progressive Total/Totaal</t>
  </si>
  <si>
    <t>*Week Total/Totaal</t>
  </si>
  <si>
    <t>*Progressive Total/Totaal</t>
  </si>
  <si>
    <t>*Total</t>
  </si>
  <si>
    <t xml:space="preserve">* Includes: Imports for RSA and other Countries </t>
  </si>
  <si>
    <t xml:space="preserve">* Sluit in: Invoere vir RSA en ander lande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</si>
</sst>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3" fontId="4" fillId="0" borderId="4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438150</xdr:colOff>
      <xdr:row>4</xdr:row>
      <xdr:rowOff>20955</xdr:rowOff>
    </xdr:to>
    <xdr:pic>
      <xdr:nvPicPr>
        <xdr:cNvPr id="2" name="LogoRSA EXPOR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510540</xdr:colOff>
      <xdr:row>4</xdr:row>
      <xdr:rowOff>20955</xdr:rowOff>
    </xdr:to>
    <xdr:pic>
      <xdr:nvPicPr>
        <xdr:cNvPr id="2" name="LogoIMPORTS FOR RS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548640</xdr:colOff>
      <xdr:row>4</xdr:row>
      <xdr:rowOff>20955</xdr:rowOff>
    </xdr:to>
    <xdr:pic>
      <xdr:nvPicPr>
        <xdr:cNvPr id="2" name="LogoIMPORTS FOR OTHER COUNTRIE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438150</xdr:colOff>
      <xdr:row>4</xdr:row>
      <xdr:rowOff>20955</xdr:rowOff>
    </xdr:to>
    <xdr:pic>
      <xdr:nvPicPr>
        <xdr:cNvPr id="3" name="LogoEXPORTS OF IMPORTED WHEA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592455</xdr:colOff>
      <xdr:row>4</xdr:row>
      <xdr:rowOff>20955</xdr:rowOff>
    </xdr:to>
    <xdr:pic>
      <xdr:nvPicPr>
        <xdr:cNvPr id="4" name="LogoIMPORTS PER HARBOUR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592455</xdr:colOff>
      <xdr:row>4</xdr:row>
      <xdr:rowOff>20955</xdr:rowOff>
    </xdr:to>
    <xdr:pic>
      <xdr:nvPicPr>
        <xdr:cNvPr id="5" name="LogoEXPORT PER HARBOUR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62"/>
  <sheetViews>
    <sheetView tabSelected="1" workbookViewId="0">
      <pane xSplit="2" ySplit="9" topLeftCell="C55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2.77734375" customWidth="1"/>
    <col min="4" max="4" width="25.21875" customWidth="1"/>
    <col min="5" max="5" width="10.88671875" customWidth="1"/>
    <col min="6" max="6" width="15.6640625" customWidth="1"/>
    <col min="7" max="7" width="10.33203125" customWidth="1"/>
    <col min="8" max="8" width="10" customWidth="1"/>
    <col min="9" max="9" width="12.5546875" customWidth="1"/>
    <col min="10" max="10" width="16.21875" bestFit="1" customWidth="1"/>
    <col min="11" max="11" width="21.77734375" bestFit="1" customWidth="1"/>
  </cols>
  <sheetData>
    <row r="6" spans="1:11" ht="15.6" x14ac:dyDescent="0.3">
      <c r="A6" s="6" t="s">
        <v>0</v>
      </c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 ht="15.6" x14ac:dyDescent="0.3">
      <c r="A7" s="6" t="s">
        <v>1</v>
      </c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x14ac:dyDescent="0.3">
      <c r="A8" s="9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x14ac:dyDescent="0.3">
      <c r="A9" s="1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4" t="s">
        <v>88</v>
      </c>
      <c r="K9" s="4" t="s">
        <v>89</v>
      </c>
    </row>
    <row r="10" spans="1:11" x14ac:dyDescent="0.3">
      <c r="A10" s="3">
        <v>1</v>
      </c>
      <c r="B10" s="3" t="s">
        <v>11</v>
      </c>
      <c r="C10" s="2">
        <v>413</v>
      </c>
      <c r="D10" s="2">
        <v>0</v>
      </c>
      <c r="E10" s="2">
        <v>0</v>
      </c>
      <c r="F10" s="2">
        <v>0</v>
      </c>
      <c r="G10" s="2">
        <v>110</v>
      </c>
      <c r="H10" s="2">
        <v>547</v>
      </c>
      <c r="I10" s="2">
        <v>526</v>
      </c>
      <c r="J10" s="3">
        <f t="shared" ref="J10:J41" si="0">SUM(C10:I10)</f>
        <v>1596</v>
      </c>
      <c r="K10" s="3">
        <f>J10</f>
        <v>1596</v>
      </c>
    </row>
    <row r="11" spans="1:11" x14ac:dyDescent="0.3">
      <c r="A11" s="3">
        <v>2</v>
      </c>
      <c r="B11" s="3" t="s">
        <v>12</v>
      </c>
      <c r="C11" s="2">
        <v>658</v>
      </c>
      <c r="D11" s="2">
        <v>0</v>
      </c>
      <c r="E11" s="2">
        <v>0</v>
      </c>
      <c r="F11" s="2">
        <v>0</v>
      </c>
      <c r="G11" s="2">
        <v>851</v>
      </c>
      <c r="H11" s="2">
        <v>373</v>
      </c>
      <c r="I11" s="2">
        <v>274</v>
      </c>
      <c r="J11" s="3">
        <f t="shared" si="0"/>
        <v>2156</v>
      </c>
      <c r="K11" s="3">
        <f t="shared" ref="K11:K42" si="1">J11+K10</f>
        <v>3752</v>
      </c>
    </row>
    <row r="12" spans="1:11" x14ac:dyDescent="0.3">
      <c r="A12" s="3">
        <v>3</v>
      </c>
      <c r="B12" s="3" t="s">
        <v>13</v>
      </c>
      <c r="C12" s="2">
        <v>183</v>
      </c>
      <c r="D12" s="2">
        <v>0</v>
      </c>
      <c r="E12" s="2">
        <v>0</v>
      </c>
      <c r="F12" s="2">
        <v>0</v>
      </c>
      <c r="G12" s="2">
        <v>519</v>
      </c>
      <c r="H12" s="2">
        <v>618</v>
      </c>
      <c r="I12" s="2">
        <v>382</v>
      </c>
      <c r="J12" s="3">
        <f t="shared" si="0"/>
        <v>1702</v>
      </c>
      <c r="K12" s="3">
        <f t="shared" si="1"/>
        <v>5454</v>
      </c>
    </row>
    <row r="13" spans="1:11" x14ac:dyDescent="0.3">
      <c r="A13" s="3">
        <v>4</v>
      </c>
      <c r="B13" s="3" t="s">
        <v>14</v>
      </c>
      <c r="C13" s="2">
        <v>329</v>
      </c>
      <c r="D13" s="2">
        <v>0</v>
      </c>
      <c r="E13" s="2">
        <v>0</v>
      </c>
      <c r="F13" s="2">
        <v>0</v>
      </c>
      <c r="G13" s="2">
        <v>400</v>
      </c>
      <c r="H13" s="2">
        <v>0</v>
      </c>
      <c r="I13" s="2">
        <v>756</v>
      </c>
      <c r="J13" s="3">
        <f t="shared" si="0"/>
        <v>1485</v>
      </c>
      <c r="K13" s="3">
        <f t="shared" si="1"/>
        <v>6939</v>
      </c>
    </row>
    <row r="14" spans="1:11" x14ac:dyDescent="0.3">
      <c r="A14" s="3">
        <v>5</v>
      </c>
      <c r="B14" s="3" t="s">
        <v>15</v>
      </c>
      <c r="C14" s="2">
        <v>224</v>
      </c>
      <c r="D14" s="2">
        <v>0</v>
      </c>
      <c r="E14" s="2">
        <v>0</v>
      </c>
      <c r="F14" s="2">
        <v>0</v>
      </c>
      <c r="G14" s="2">
        <v>258</v>
      </c>
      <c r="H14" s="2">
        <v>0</v>
      </c>
      <c r="I14" s="2">
        <v>934</v>
      </c>
      <c r="J14" s="3">
        <f t="shared" si="0"/>
        <v>1416</v>
      </c>
      <c r="K14" s="3">
        <f t="shared" si="1"/>
        <v>8355</v>
      </c>
    </row>
    <row r="15" spans="1:11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103</v>
      </c>
      <c r="J15" s="3">
        <f t="shared" si="0"/>
        <v>103</v>
      </c>
      <c r="K15" s="3">
        <f t="shared" si="1"/>
        <v>8458</v>
      </c>
    </row>
    <row r="16" spans="1:11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576</v>
      </c>
      <c r="J16" s="3">
        <f t="shared" si="0"/>
        <v>576</v>
      </c>
      <c r="K16" s="3">
        <f t="shared" si="1"/>
        <v>9034</v>
      </c>
    </row>
    <row r="17" spans="1:11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2">
        <v>0</v>
      </c>
      <c r="G17" s="2">
        <v>221</v>
      </c>
      <c r="H17" s="2">
        <v>0</v>
      </c>
      <c r="I17" s="2">
        <v>543</v>
      </c>
      <c r="J17" s="3">
        <f t="shared" si="0"/>
        <v>764</v>
      </c>
      <c r="K17" s="3">
        <f t="shared" si="1"/>
        <v>9798</v>
      </c>
    </row>
    <row r="18" spans="1:11" x14ac:dyDescent="0.3">
      <c r="A18" s="3">
        <v>9</v>
      </c>
      <c r="B18" s="3" t="s">
        <v>19</v>
      </c>
      <c r="C18" s="2">
        <v>243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684</v>
      </c>
      <c r="J18" s="3">
        <f t="shared" si="0"/>
        <v>927</v>
      </c>
      <c r="K18" s="3">
        <f t="shared" si="1"/>
        <v>10725</v>
      </c>
    </row>
    <row r="19" spans="1:11" x14ac:dyDescent="0.3">
      <c r="A19" s="3">
        <v>10</v>
      </c>
      <c r="B19" s="3" t="s">
        <v>20</v>
      </c>
      <c r="C19" s="2">
        <v>104</v>
      </c>
      <c r="D19" s="2">
        <v>0</v>
      </c>
      <c r="E19" s="2">
        <v>592</v>
      </c>
      <c r="F19" s="2">
        <v>0</v>
      </c>
      <c r="G19" s="2">
        <v>0</v>
      </c>
      <c r="H19" s="2">
        <v>0</v>
      </c>
      <c r="I19" s="2">
        <v>840</v>
      </c>
      <c r="J19" s="3">
        <f t="shared" si="0"/>
        <v>1536</v>
      </c>
      <c r="K19" s="3">
        <f t="shared" si="1"/>
        <v>12261</v>
      </c>
    </row>
    <row r="20" spans="1:11" x14ac:dyDescent="0.3">
      <c r="A20" s="3">
        <v>11</v>
      </c>
      <c r="B20" s="3" t="s">
        <v>21</v>
      </c>
      <c r="C20" s="2">
        <v>142</v>
      </c>
      <c r="D20" s="2">
        <v>0</v>
      </c>
      <c r="E20" s="2">
        <v>1769</v>
      </c>
      <c r="F20" s="2">
        <v>0</v>
      </c>
      <c r="G20" s="2">
        <v>0</v>
      </c>
      <c r="H20" s="2">
        <v>0</v>
      </c>
      <c r="I20" s="2">
        <v>944</v>
      </c>
      <c r="J20" s="3">
        <f t="shared" si="0"/>
        <v>2855</v>
      </c>
      <c r="K20" s="3">
        <f t="shared" si="1"/>
        <v>15116</v>
      </c>
    </row>
    <row r="21" spans="1:11" x14ac:dyDescent="0.3">
      <c r="A21" s="3">
        <v>12</v>
      </c>
      <c r="B21" s="3" t="s">
        <v>22</v>
      </c>
      <c r="C21" s="2">
        <v>0</v>
      </c>
      <c r="D21" s="2">
        <v>0</v>
      </c>
      <c r="E21" s="2">
        <v>413</v>
      </c>
      <c r="F21" s="2">
        <v>0</v>
      </c>
      <c r="G21" s="2">
        <v>0</v>
      </c>
      <c r="H21" s="2">
        <v>0</v>
      </c>
      <c r="I21" s="2">
        <v>1362</v>
      </c>
      <c r="J21" s="3">
        <f t="shared" si="0"/>
        <v>1775</v>
      </c>
      <c r="K21" s="3">
        <f t="shared" si="1"/>
        <v>16891</v>
      </c>
    </row>
    <row r="22" spans="1:11" x14ac:dyDescent="0.3">
      <c r="A22" s="3">
        <v>13</v>
      </c>
      <c r="B22" s="3" t="s">
        <v>23</v>
      </c>
      <c r="C22" s="2">
        <v>0</v>
      </c>
      <c r="D22" s="2">
        <v>0</v>
      </c>
      <c r="E22" s="2">
        <v>58</v>
      </c>
      <c r="F22" s="2">
        <v>0</v>
      </c>
      <c r="G22" s="2">
        <v>0</v>
      </c>
      <c r="H22" s="2">
        <v>0</v>
      </c>
      <c r="I22" s="2">
        <v>840</v>
      </c>
      <c r="J22" s="3">
        <f t="shared" si="0"/>
        <v>898</v>
      </c>
      <c r="K22" s="3">
        <f t="shared" si="1"/>
        <v>17789</v>
      </c>
    </row>
    <row r="23" spans="1:11" x14ac:dyDescent="0.3">
      <c r="A23" s="3">
        <v>14</v>
      </c>
      <c r="B23" s="3" t="s">
        <v>24</v>
      </c>
      <c r="C23" s="2">
        <v>207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492</v>
      </c>
      <c r="J23" s="3">
        <f t="shared" si="0"/>
        <v>699</v>
      </c>
      <c r="K23" s="3">
        <f t="shared" si="1"/>
        <v>18488</v>
      </c>
    </row>
    <row r="24" spans="1:11" x14ac:dyDescent="0.3">
      <c r="A24" s="3">
        <v>15</v>
      </c>
      <c r="B24" s="3" t="s">
        <v>25</v>
      </c>
      <c r="C24" s="2">
        <v>0</v>
      </c>
      <c r="D24" s="2">
        <v>0</v>
      </c>
      <c r="E24" s="2">
        <v>140</v>
      </c>
      <c r="F24" s="2">
        <v>0</v>
      </c>
      <c r="G24" s="2">
        <v>0</v>
      </c>
      <c r="H24" s="2">
        <v>0</v>
      </c>
      <c r="I24" s="2">
        <v>1788</v>
      </c>
      <c r="J24" s="3">
        <f t="shared" si="0"/>
        <v>1928</v>
      </c>
      <c r="K24" s="3">
        <f t="shared" si="1"/>
        <v>20416</v>
      </c>
    </row>
    <row r="25" spans="1:11" x14ac:dyDescent="0.3">
      <c r="A25" s="3">
        <v>16</v>
      </c>
      <c r="B25" s="3" t="s">
        <v>26</v>
      </c>
      <c r="C25" s="2">
        <v>1110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4435</v>
      </c>
      <c r="J25" s="3">
        <f t="shared" si="0"/>
        <v>5545</v>
      </c>
      <c r="K25" s="3">
        <f t="shared" si="1"/>
        <v>25961</v>
      </c>
    </row>
    <row r="26" spans="1:11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2568</v>
      </c>
      <c r="J26" s="3">
        <f t="shared" si="0"/>
        <v>2568</v>
      </c>
      <c r="K26" s="3">
        <f t="shared" si="1"/>
        <v>28529</v>
      </c>
    </row>
    <row r="27" spans="1:11" x14ac:dyDescent="0.3">
      <c r="A27" s="3">
        <v>18</v>
      </c>
      <c r="B27" s="3" t="s">
        <v>28</v>
      </c>
      <c r="C27" s="2">
        <v>961</v>
      </c>
      <c r="D27" s="2">
        <v>0</v>
      </c>
      <c r="E27" s="2">
        <v>0</v>
      </c>
      <c r="F27" s="2">
        <v>0</v>
      </c>
      <c r="G27" s="2">
        <v>183</v>
      </c>
      <c r="H27" s="2">
        <v>0</v>
      </c>
      <c r="I27" s="2">
        <v>2760</v>
      </c>
      <c r="J27" s="3">
        <f t="shared" si="0"/>
        <v>3904</v>
      </c>
      <c r="K27" s="3">
        <f t="shared" si="1"/>
        <v>32433</v>
      </c>
    </row>
    <row r="28" spans="1:11" x14ac:dyDescent="0.3">
      <c r="A28" s="3">
        <v>19</v>
      </c>
      <c r="B28" s="3" t="s">
        <v>29</v>
      </c>
      <c r="C28" s="2">
        <v>914</v>
      </c>
      <c r="D28" s="2">
        <v>0</v>
      </c>
      <c r="E28" s="2">
        <v>493</v>
      </c>
      <c r="F28" s="2">
        <v>0</v>
      </c>
      <c r="G28" s="2">
        <v>224</v>
      </c>
      <c r="H28" s="2">
        <v>0</v>
      </c>
      <c r="I28" s="2">
        <v>2253</v>
      </c>
      <c r="J28" s="3">
        <f t="shared" si="0"/>
        <v>3884</v>
      </c>
      <c r="K28" s="3">
        <f t="shared" si="1"/>
        <v>36317</v>
      </c>
    </row>
    <row r="29" spans="1:11" x14ac:dyDescent="0.3">
      <c r="A29" s="3">
        <v>20</v>
      </c>
      <c r="B29" s="3" t="s">
        <v>30</v>
      </c>
      <c r="C29" s="2">
        <v>1732</v>
      </c>
      <c r="D29" s="2">
        <v>0</v>
      </c>
      <c r="E29" s="2">
        <v>485</v>
      </c>
      <c r="F29" s="2">
        <v>0</v>
      </c>
      <c r="G29" s="2">
        <v>338</v>
      </c>
      <c r="H29" s="2">
        <v>1672</v>
      </c>
      <c r="I29" s="2">
        <v>3821</v>
      </c>
      <c r="J29" s="3">
        <f t="shared" si="0"/>
        <v>8048</v>
      </c>
      <c r="K29" s="3">
        <f t="shared" si="1"/>
        <v>44365</v>
      </c>
    </row>
    <row r="30" spans="1:11" x14ac:dyDescent="0.3">
      <c r="A30" s="3">
        <v>21</v>
      </c>
      <c r="B30" s="3" t="s">
        <v>31</v>
      </c>
      <c r="C30" s="2">
        <v>1825</v>
      </c>
      <c r="D30" s="2">
        <v>0</v>
      </c>
      <c r="E30" s="2">
        <v>898</v>
      </c>
      <c r="F30" s="2">
        <v>0</v>
      </c>
      <c r="G30" s="2">
        <v>77</v>
      </c>
      <c r="H30" s="2">
        <v>1526</v>
      </c>
      <c r="I30" s="2">
        <v>4686</v>
      </c>
      <c r="J30" s="3">
        <f t="shared" si="0"/>
        <v>9012</v>
      </c>
      <c r="K30" s="3">
        <f t="shared" si="1"/>
        <v>53377</v>
      </c>
    </row>
    <row r="31" spans="1:11" x14ac:dyDescent="0.3">
      <c r="A31" s="3">
        <v>22</v>
      </c>
      <c r="B31" s="3" t="s">
        <v>32</v>
      </c>
      <c r="C31" s="2">
        <v>1954</v>
      </c>
      <c r="D31" s="2">
        <v>0</v>
      </c>
      <c r="E31" s="2">
        <v>135</v>
      </c>
      <c r="F31" s="2">
        <v>0</v>
      </c>
      <c r="G31" s="2">
        <v>0</v>
      </c>
      <c r="H31" s="2">
        <v>1584</v>
      </c>
      <c r="I31" s="2">
        <v>4680</v>
      </c>
      <c r="J31" s="3">
        <f t="shared" si="0"/>
        <v>8353</v>
      </c>
      <c r="K31" s="3">
        <f t="shared" si="1"/>
        <v>61730</v>
      </c>
    </row>
    <row r="32" spans="1:11" x14ac:dyDescent="0.3">
      <c r="A32" s="3">
        <v>23</v>
      </c>
      <c r="B32" s="3" t="s">
        <v>33</v>
      </c>
      <c r="C32" s="2">
        <v>1758</v>
      </c>
      <c r="D32" s="2">
        <v>0</v>
      </c>
      <c r="E32" s="2">
        <v>1043</v>
      </c>
      <c r="F32" s="2">
        <v>0</v>
      </c>
      <c r="G32" s="2">
        <v>416</v>
      </c>
      <c r="H32" s="2">
        <v>0</v>
      </c>
      <c r="I32" s="2">
        <v>702</v>
      </c>
      <c r="J32" s="3">
        <f t="shared" si="0"/>
        <v>3919</v>
      </c>
      <c r="K32" s="3">
        <f t="shared" si="1"/>
        <v>65649</v>
      </c>
    </row>
    <row r="33" spans="1:11" x14ac:dyDescent="0.3">
      <c r="A33" s="3">
        <v>24</v>
      </c>
      <c r="B33" s="3" t="s">
        <v>34</v>
      </c>
      <c r="C33" s="2">
        <v>71</v>
      </c>
      <c r="D33" s="2">
        <v>0</v>
      </c>
      <c r="E33" s="2">
        <v>1050</v>
      </c>
      <c r="F33" s="2">
        <v>0</v>
      </c>
      <c r="G33" s="2">
        <v>262</v>
      </c>
      <c r="H33" s="2">
        <v>126</v>
      </c>
      <c r="I33" s="2">
        <v>662</v>
      </c>
      <c r="J33" s="3">
        <f t="shared" si="0"/>
        <v>2171</v>
      </c>
      <c r="K33" s="3">
        <f t="shared" si="1"/>
        <v>67820</v>
      </c>
    </row>
    <row r="34" spans="1:11" x14ac:dyDescent="0.3">
      <c r="A34" s="3">
        <v>25</v>
      </c>
      <c r="B34" s="3" t="s">
        <v>35</v>
      </c>
      <c r="C34" s="2">
        <v>737</v>
      </c>
      <c r="D34" s="2">
        <v>0</v>
      </c>
      <c r="E34" s="2">
        <v>1160</v>
      </c>
      <c r="F34" s="2">
        <v>0</v>
      </c>
      <c r="G34" s="2">
        <v>267</v>
      </c>
      <c r="H34" s="2">
        <v>1672</v>
      </c>
      <c r="I34" s="2">
        <v>1396</v>
      </c>
      <c r="J34" s="3">
        <f t="shared" si="0"/>
        <v>5232</v>
      </c>
      <c r="K34" s="3">
        <f t="shared" si="1"/>
        <v>73052</v>
      </c>
    </row>
    <row r="35" spans="1:11" x14ac:dyDescent="0.3">
      <c r="A35" s="3">
        <v>26</v>
      </c>
      <c r="B35" s="3" t="s">
        <v>36</v>
      </c>
      <c r="C35" s="2">
        <v>946</v>
      </c>
      <c r="D35" s="2">
        <v>0</v>
      </c>
      <c r="E35" s="2">
        <v>1388</v>
      </c>
      <c r="F35" s="2">
        <v>0</v>
      </c>
      <c r="G35" s="2">
        <v>153</v>
      </c>
      <c r="H35" s="2">
        <v>303</v>
      </c>
      <c r="I35" s="2">
        <v>4596</v>
      </c>
      <c r="J35" s="3">
        <f t="shared" si="0"/>
        <v>7386</v>
      </c>
      <c r="K35" s="3">
        <f t="shared" si="1"/>
        <v>80438</v>
      </c>
    </row>
    <row r="36" spans="1:11" x14ac:dyDescent="0.3">
      <c r="A36" s="3">
        <v>27</v>
      </c>
      <c r="B36" s="3" t="s">
        <v>37</v>
      </c>
      <c r="C36" s="2">
        <v>316</v>
      </c>
      <c r="D36" s="2">
        <v>0</v>
      </c>
      <c r="E36" s="2">
        <v>1138</v>
      </c>
      <c r="F36" s="2">
        <v>0</v>
      </c>
      <c r="G36" s="2">
        <v>420</v>
      </c>
      <c r="H36" s="2">
        <v>3290</v>
      </c>
      <c r="I36" s="2">
        <v>3602</v>
      </c>
      <c r="J36" s="3">
        <f t="shared" si="0"/>
        <v>8766</v>
      </c>
      <c r="K36" s="3">
        <f t="shared" si="1"/>
        <v>89204</v>
      </c>
    </row>
    <row r="37" spans="1:11" x14ac:dyDescent="0.3">
      <c r="A37" s="3">
        <v>28</v>
      </c>
      <c r="B37" s="3" t="s">
        <v>38</v>
      </c>
      <c r="C37" s="2">
        <v>386</v>
      </c>
      <c r="D37" s="2">
        <v>0</v>
      </c>
      <c r="E37" s="2">
        <v>676</v>
      </c>
      <c r="F37" s="2">
        <v>0</v>
      </c>
      <c r="G37" s="2">
        <v>759</v>
      </c>
      <c r="H37" s="2">
        <v>6332</v>
      </c>
      <c r="I37" s="2">
        <v>618</v>
      </c>
      <c r="J37" s="3">
        <f t="shared" si="0"/>
        <v>8771</v>
      </c>
      <c r="K37" s="3">
        <f t="shared" si="1"/>
        <v>97975</v>
      </c>
    </row>
    <row r="38" spans="1:11" x14ac:dyDescent="0.3">
      <c r="A38" s="3">
        <v>29</v>
      </c>
      <c r="B38" s="3" t="s">
        <v>39</v>
      </c>
      <c r="C38" s="2">
        <v>354</v>
      </c>
      <c r="D38" s="2">
        <v>0</v>
      </c>
      <c r="E38" s="2">
        <v>881</v>
      </c>
      <c r="F38" s="2">
        <v>0</v>
      </c>
      <c r="G38" s="2">
        <v>0</v>
      </c>
      <c r="H38" s="2">
        <v>4351</v>
      </c>
      <c r="I38" s="2">
        <v>721</v>
      </c>
      <c r="J38" s="3">
        <f t="shared" si="0"/>
        <v>6307</v>
      </c>
      <c r="K38" s="3">
        <f t="shared" si="1"/>
        <v>104282</v>
      </c>
    </row>
    <row r="39" spans="1:11" x14ac:dyDescent="0.3">
      <c r="A39" s="3">
        <v>30</v>
      </c>
      <c r="B39" s="3" t="s">
        <v>40</v>
      </c>
      <c r="C39" s="2">
        <v>631</v>
      </c>
      <c r="D39" s="2">
        <v>0</v>
      </c>
      <c r="E39" s="2">
        <v>1590</v>
      </c>
      <c r="F39" s="2">
        <v>0</v>
      </c>
      <c r="G39" s="2">
        <v>0</v>
      </c>
      <c r="H39" s="2">
        <v>4621</v>
      </c>
      <c r="I39" s="2">
        <v>483</v>
      </c>
      <c r="J39" s="3">
        <f t="shared" si="0"/>
        <v>7325</v>
      </c>
      <c r="K39" s="3">
        <f t="shared" si="1"/>
        <v>111607</v>
      </c>
    </row>
    <row r="40" spans="1:11" x14ac:dyDescent="0.3">
      <c r="A40" s="3">
        <v>31</v>
      </c>
      <c r="B40" s="3" t="s">
        <v>41</v>
      </c>
      <c r="C40" s="2">
        <v>311</v>
      </c>
      <c r="D40" s="2">
        <v>0</v>
      </c>
      <c r="E40" s="2">
        <v>277</v>
      </c>
      <c r="F40" s="2">
        <v>0</v>
      </c>
      <c r="G40" s="2">
        <v>0</v>
      </c>
      <c r="H40" s="2">
        <v>3183</v>
      </c>
      <c r="I40" s="2">
        <v>1090</v>
      </c>
      <c r="J40" s="3">
        <f t="shared" si="0"/>
        <v>4861</v>
      </c>
      <c r="K40" s="3">
        <f t="shared" si="1"/>
        <v>116468</v>
      </c>
    </row>
    <row r="41" spans="1:11" x14ac:dyDescent="0.3">
      <c r="A41" s="3">
        <v>32</v>
      </c>
      <c r="B41" s="3" t="s">
        <v>42</v>
      </c>
      <c r="C41" s="2">
        <v>426</v>
      </c>
      <c r="D41" s="2">
        <v>0</v>
      </c>
      <c r="E41" s="2">
        <v>900</v>
      </c>
      <c r="F41" s="2">
        <v>0</v>
      </c>
      <c r="G41" s="2">
        <v>0</v>
      </c>
      <c r="H41" s="2">
        <v>3121</v>
      </c>
      <c r="I41" s="2">
        <v>3359</v>
      </c>
      <c r="J41" s="3">
        <f t="shared" si="0"/>
        <v>7806</v>
      </c>
      <c r="K41" s="3">
        <f t="shared" si="1"/>
        <v>124274</v>
      </c>
    </row>
    <row r="42" spans="1:11" x14ac:dyDescent="0.3">
      <c r="A42" s="3">
        <v>33</v>
      </c>
      <c r="B42" s="3" t="s">
        <v>43</v>
      </c>
      <c r="C42" s="2">
        <v>912</v>
      </c>
      <c r="D42" s="2">
        <v>0</v>
      </c>
      <c r="E42" s="2">
        <v>1472</v>
      </c>
      <c r="F42" s="2">
        <v>0</v>
      </c>
      <c r="G42" s="2">
        <v>76</v>
      </c>
      <c r="H42" s="2">
        <v>2055</v>
      </c>
      <c r="I42" s="2">
        <v>2166</v>
      </c>
      <c r="J42" s="3">
        <f t="shared" ref="J42:J73" si="2">SUM(C42:I42)</f>
        <v>6681</v>
      </c>
      <c r="K42" s="3">
        <f t="shared" si="1"/>
        <v>130955</v>
      </c>
    </row>
    <row r="43" spans="1:11" x14ac:dyDescent="0.3">
      <c r="A43" s="3">
        <v>34</v>
      </c>
      <c r="B43" s="3" t="s">
        <v>44</v>
      </c>
      <c r="C43" s="2">
        <v>312</v>
      </c>
      <c r="D43" s="2">
        <v>0</v>
      </c>
      <c r="E43" s="2">
        <v>311</v>
      </c>
      <c r="F43" s="2">
        <v>0</v>
      </c>
      <c r="G43" s="2">
        <v>224</v>
      </c>
      <c r="H43" s="2">
        <v>3625</v>
      </c>
      <c r="I43" s="2">
        <v>456</v>
      </c>
      <c r="J43" s="3">
        <f t="shared" si="2"/>
        <v>4928</v>
      </c>
      <c r="K43" s="3">
        <f t="shared" ref="K43:K61" si="3">J43+K42</f>
        <v>135883</v>
      </c>
    </row>
    <row r="44" spans="1:11" x14ac:dyDescent="0.3">
      <c r="A44" s="3">
        <v>35</v>
      </c>
      <c r="B44" s="3" t="s">
        <v>45</v>
      </c>
      <c r="C44" s="2">
        <v>515</v>
      </c>
      <c r="D44" s="2">
        <v>0</v>
      </c>
      <c r="E44" s="2">
        <v>9</v>
      </c>
      <c r="F44" s="2">
        <v>0</v>
      </c>
      <c r="G44" s="2">
        <v>77</v>
      </c>
      <c r="H44" s="2">
        <v>4579</v>
      </c>
      <c r="I44" s="2">
        <v>1752</v>
      </c>
      <c r="J44" s="3">
        <f t="shared" si="2"/>
        <v>6932</v>
      </c>
      <c r="K44" s="3">
        <f t="shared" si="3"/>
        <v>142815</v>
      </c>
    </row>
    <row r="45" spans="1:11" x14ac:dyDescent="0.3">
      <c r="A45" s="3">
        <v>36</v>
      </c>
      <c r="B45" s="3" t="s">
        <v>46</v>
      </c>
      <c r="C45" s="2">
        <v>796</v>
      </c>
      <c r="D45" s="2">
        <v>0</v>
      </c>
      <c r="E45" s="2">
        <v>183</v>
      </c>
      <c r="F45" s="2">
        <v>0</v>
      </c>
      <c r="G45" s="2">
        <v>333</v>
      </c>
      <c r="H45" s="2">
        <v>5887</v>
      </c>
      <c r="I45" s="2">
        <v>552</v>
      </c>
      <c r="J45" s="3">
        <f t="shared" si="2"/>
        <v>7751</v>
      </c>
      <c r="K45" s="3">
        <f t="shared" si="3"/>
        <v>150566</v>
      </c>
    </row>
    <row r="46" spans="1:11" x14ac:dyDescent="0.3">
      <c r="A46" s="3">
        <v>37</v>
      </c>
      <c r="B46" s="3" t="s">
        <v>47</v>
      </c>
      <c r="C46" s="2">
        <v>385</v>
      </c>
      <c r="D46" s="2">
        <v>0</v>
      </c>
      <c r="E46" s="2">
        <v>232</v>
      </c>
      <c r="F46" s="2">
        <v>0</v>
      </c>
      <c r="G46" s="2">
        <v>824</v>
      </c>
      <c r="H46" s="2">
        <v>4490</v>
      </c>
      <c r="I46" s="2">
        <v>280</v>
      </c>
      <c r="J46" s="3">
        <f t="shared" si="2"/>
        <v>6211</v>
      </c>
      <c r="K46" s="3">
        <f t="shared" si="3"/>
        <v>156777</v>
      </c>
    </row>
    <row r="47" spans="1:11" x14ac:dyDescent="0.3">
      <c r="A47" s="3">
        <v>38</v>
      </c>
      <c r="B47" s="3" t="s">
        <v>48</v>
      </c>
      <c r="C47" s="2">
        <v>741</v>
      </c>
      <c r="D47" s="2">
        <v>0</v>
      </c>
      <c r="E47" s="2">
        <v>210</v>
      </c>
      <c r="F47" s="2">
        <v>0</v>
      </c>
      <c r="G47" s="2">
        <v>228</v>
      </c>
      <c r="H47" s="2">
        <v>2366</v>
      </c>
      <c r="I47" s="2">
        <v>70</v>
      </c>
      <c r="J47" s="3">
        <f t="shared" si="2"/>
        <v>3615</v>
      </c>
      <c r="K47" s="3">
        <f t="shared" si="3"/>
        <v>160392</v>
      </c>
    </row>
    <row r="48" spans="1:11" x14ac:dyDescent="0.3">
      <c r="A48" s="3">
        <v>39</v>
      </c>
      <c r="B48" s="3" t="s">
        <v>49</v>
      </c>
      <c r="C48" s="2">
        <v>1267</v>
      </c>
      <c r="D48" s="2">
        <v>0</v>
      </c>
      <c r="E48" s="2">
        <v>2101</v>
      </c>
      <c r="F48" s="2">
        <v>72</v>
      </c>
      <c r="G48" s="2">
        <v>0</v>
      </c>
      <c r="H48" s="2">
        <v>2560</v>
      </c>
      <c r="I48" s="2">
        <v>537</v>
      </c>
      <c r="J48" s="3">
        <f t="shared" si="2"/>
        <v>6537</v>
      </c>
      <c r="K48" s="3">
        <f t="shared" si="3"/>
        <v>166929</v>
      </c>
    </row>
    <row r="49" spans="1:11" x14ac:dyDescent="0.3">
      <c r="A49" s="3">
        <v>40</v>
      </c>
      <c r="B49" s="3" t="s">
        <v>50</v>
      </c>
      <c r="C49" s="2">
        <v>496</v>
      </c>
      <c r="D49" s="2">
        <v>0</v>
      </c>
      <c r="E49" s="2">
        <v>823</v>
      </c>
      <c r="F49" s="2">
        <v>0</v>
      </c>
      <c r="G49" s="2">
        <v>0</v>
      </c>
      <c r="H49" s="2">
        <v>3025</v>
      </c>
      <c r="I49" s="2">
        <v>314</v>
      </c>
      <c r="J49" s="3">
        <f t="shared" si="2"/>
        <v>4658</v>
      </c>
      <c r="K49" s="3">
        <f t="shared" si="3"/>
        <v>171587</v>
      </c>
    </row>
    <row r="50" spans="1:11" x14ac:dyDescent="0.3">
      <c r="A50" s="3">
        <v>41</v>
      </c>
      <c r="B50" s="3" t="s">
        <v>51</v>
      </c>
      <c r="C50" s="2">
        <v>566</v>
      </c>
      <c r="D50" s="2">
        <v>35</v>
      </c>
      <c r="E50" s="2">
        <v>512</v>
      </c>
      <c r="F50" s="2">
        <v>69</v>
      </c>
      <c r="G50" s="2">
        <v>238</v>
      </c>
      <c r="H50" s="2">
        <v>3486</v>
      </c>
      <c r="I50" s="2">
        <v>286</v>
      </c>
      <c r="J50" s="3">
        <f t="shared" si="2"/>
        <v>5192</v>
      </c>
      <c r="K50" s="3">
        <f t="shared" si="3"/>
        <v>176779</v>
      </c>
    </row>
    <row r="51" spans="1:11" x14ac:dyDescent="0.3">
      <c r="A51" s="3">
        <v>42</v>
      </c>
      <c r="B51" s="3" t="s">
        <v>52</v>
      </c>
      <c r="C51" s="2">
        <v>65</v>
      </c>
      <c r="D51" s="2">
        <v>0</v>
      </c>
      <c r="E51" s="2">
        <v>443</v>
      </c>
      <c r="F51" s="2">
        <v>0</v>
      </c>
      <c r="G51" s="2">
        <v>0</v>
      </c>
      <c r="H51" s="2">
        <v>2071</v>
      </c>
      <c r="I51" s="2">
        <v>878</v>
      </c>
      <c r="J51" s="3">
        <f t="shared" si="2"/>
        <v>3457</v>
      </c>
      <c r="K51" s="3">
        <f t="shared" si="3"/>
        <v>180236</v>
      </c>
    </row>
    <row r="52" spans="1:11" x14ac:dyDescent="0.3">
      <c r="A52" s="3">
        <v>43</v>
      </c>
      <c r="B52" s="3" t="s">
        <v>53</v>
      </c>
      <c r="C52" s="2">
        <v>0</v>
      </c>
      <c r="D52" s="2">
        <v>0</v>
      </c>
      <c r="E52" s="2">
        <v>1343</v>
      </c>
      <c r="F52" s="2">
        <v>109</v>
      </c>
      <c r="G52" s="2">
        <v>179</v>
      </c>
      <c r="H52" s="2">
        <v>3455</v>
      </c>
      <c r="I52" s="2">
        <v>1097</v>
      </c>
      <c r="J52" s="3">
        <f t="shared" si="2"/>
        <v>6183</v>
      </c>
      <c r="K52" s="3">
        <f t="shared" si="3"/>
        <v>186419</v>
      </c>
    </row>
    <row r="53" spans="1:11" x14ac:dyDescent="0.3">
      <c r="A53" s="3">
        <v>44</v>
      </c>
      <c r="B53" s="3" t="s">
        <v>54</v>
      </c>
      <c r="C53" s="2">
        <v>0</v>
      </c>
      <c r="D53" s="2">
        <v>0</v>
      </c>
      <c r="E53" s="2">
        <v>669</v>
      </c>
      <c r="F53" s="2">
        <v>0</v>
      </c>
      <c r="G53" s="2">
        <v>0</v>
      </c>
      <c r="H53" s="2">
        <v>2697</v>
      </c>
      <c r="I53" s="2">
        <v>1074</v>
      </c>
      <c r="J53" s="3">
        <f t="shared" si="2"/>
        <v>4440</v>
      </c>
      <c r="K53" s="3">
        <f t="shared" si="3"/>
        <v>190859</v>
      </c>
    </row>
    <row r="54" spans="1:11" x14ac:dyDescent="0.3">
      <c r="A54" s="3">
        <v>45</v>
      </c>
      <c r="B54" s="3" t="s">
        <v>55</v>
      </c>
      <c r="C54" s="2">
        <v>73</v>
      </c>
      <c r="D54" s="2">
        <v>0</v>
      </c>
      <c r="E54" s="2">
        <v>374</v>
      </c>
      <c r="F54" s="2">
        <v>0</v>
      </c>
      <c r="G54" s="2">
        <v>0</v>
      </c>
      <c r="H54" s="2">
        <v>2495</v>
      </c>
      <c r="I54" s="2">
        <v>476</v>
      </c>
      <c r="J54" s="3">
        <f t="shared" si="2"/>
        <v>3418</v>
      </c>
      <c r="K54" s="3">
        <f t="shared" si="3"/>
        <v>194277</v>
      </c>
    </row>
    <row r="55" spans="1:11" x14ac:dyDescent="0.3">
      <c r="A55" s="3">
        <v>46</v>
      </c>
      <c r="B55" s="3" t="s">
        <v>56</v>
      </c>
      <c r="C55" s="2">
        <v>146</v>
      </c>
      <c r="D55" s="2">
        <v>0</v>
      </c>
      <c r="E55" s="2">
        <v>144</v>
      </c>
      <c r="F55" s="2">
        <v>0</v>
      </c>
      <c r="G55" s="2">
        <v>0</v>
      </c>
      <c r="H55" s="2">
        <v>2779</v>
      </c>
      <c r="I55" s="2">
        <v>781</v>
      </c>
      <c r="J55" s="3">
        <f t="shared" si="2"/>
        <v>3850</v>
      </c>
      <c r="K55" s="3">
        <f t="shared" si="3"/>
        <v>198127</v>
      </c>
    </row>
    <row r="56" spans="1:11" x14ac:dyDescent="0.3">
      <c r="A56" s="3">
        <v>47</v>
      </c>
      <c r="B56" s="3" t="s">
        <v>57</v>
      </c>
      <c r="C56" s="2">
        <v>74</v>
      </c>
      <c r="D56" s="2">
        <v>0</v>
      </c>
      <c r="E56" s="2">
        <v>305</v>
      </c>
      <c r="F56" s="2">
        <v>0</v>
      </c>
      <c r="G56" s="2">
        <v>0</v>
      </c>
      <c r="H56" s="2">
        <v>5296</v>
      </c>
      <c r="I56" s="2">
        <v>1013</v>
      </c>
      <c r="J56" s="3">
        <f t="shared" si="2"/>
        <v>6688</v>
      </c>
      <c r="K56" s="3">
        <f t="shared" si="3"/>
        <v>204815</v>
      </c>
    </row>
    <row r="57" spans="1:11" x14ac:dyDescent="0.3">
      <c r="A57" s="3">
        <v>48</v>
      </c>
      <c r="B57" s="3" t="s">
        <v>58</v>
      </c>
      <c r="C57" s="2">
        <v>184</v>
      </c>
      <c r="D57" s="2">
        <v>34</v>
      </c>
      <c r="E57" s="2">
        <v>223</v>
      </c>
      <c r="F57" s="2">
        <v>0</v>
      </c>
      <c r="G57" s="2">
        <v>0</v>
      </c>
      <c r="H57" s="2">
        <v>4335</v>
      </c>
      <c r="I57" s="2">
        <v>1940</v>
      </c>
      <c r="J57" s="3">
        <f t="shared" si="2"/>
        <v>6716</v>
      </c>
      <c r="K57" s="3">
        <f t="shared" si="3"/>
        <v>211531</v>
      </c>
    </row>
    <row r="58" spans="1:11" x14ac:dyDescent="0.3">
      <c r="A58" s="3">
        <v>49</v>
      </c>
      <c r="B58" s="3" t="s">
        <v>59</v>
      </c>
      <c r="C58" s="2">
        <v>320</v>
      </c>
      <c r="D58" s="2">
        <v>0</v>
      </c>
      <c r="E58" s="2">
        <v>296</v>
      </c>
      <c r="F58" s="2">
        <v>0</v>
      </c>
      <c r="G58" s="2">
        <v>34</v>
      </c>
      <c r="H58" s="2">
        <v>317</v>
      </c>
      <c r="I58" s="2">
        <v>468</v>
      </c>
      <c r="J58" s="3">
        <f t="shared" si="2"/>
        <v>1435</v>
      </c>
      <c r="K58" s="3">
        <f t="shared" si="3"/>
        <v>212966</v>
      </c>
    </row>
    <row r="59" spans="1:11" x14ac:dyDescent="0.3">
      <c r="A59" s="3">
        <v>50</v>
      </c>
      <c r="B59" s="3" t="s">
        <v>60</v>
      </c>
      <c r="C59" s="2">
        <v>547</v>
      </c>
      <c r="D59" s="2">
        <v>0</v>
      </c>
      <c r="E59" s="2">
        <v>550</v>
      </c>
      <c r="F59" s="2">
        <v>0</v>
      </c>
      <c r="G59" s="2">
        <v>0</v>
      </c>
      <c r="H59" s="2">
        <v>846</v>
      </c>
      <c r="I59" s="2">
        <v>283</v>
      </c>
      <c r="J59" s="3">
        <f t="shared" si="2"/>
        <v>2226</v>
      </c>
      <c r="K59" s="3">
        <f t="shared" si="3"/>
        <v>215192</v>
      </c>
    </row>
    <row r="60" spans="1:11" x14ac:dyDescent="0.3">
      <c r="A60" s="3">
        <v>51</v>
      </c>
      <c r="B60" s="3" t="s">
        <v>61</v>
      </c>
      <c r="C60" s="2">
        <v>219</v>
      </c>
      <c r="D60" s="2">
        <v>0</v>
      </c>
      <c r="E60" s="2">
        <v>673</v>
      </c>
      <c r="F60" s="2">
        <v>0</v>
      </c>
      <c r="G60" s="2">
        <v>0</v>
      </c>
      <c r="H60" s="2">
        <v>1683</v>
      </c>
      <c r="I60" s="2">
        <v>376</v>
      </c>
      <c r="J60" s="3">
        <f t="shared" si="2"/>
        <v>2951</v>
      </c>
      <c r="K60" s="3">
        <f t="shared" si="3"/>
        <v>218143</v>
      </c>
    </row>
    <row r="61" spans="1:11" x14ac:dyDescent="0.3">
      <c r="A61" s="3">
        <v>52</v>
      </c>
      <c r="B61" s="3" t="s">
        <v>62</v>
      </c>
      <c r="C61" s="2">
        <v>252</v>
      </c>
      <c r="D61" s="2">
        <v>0</v>
      </c>
      <c r="E61" s="2">
        <v>419</v>
      </c>
      <c r="F61" s="2">
        <v>0</v>
      </c>
      <c r="G61" s="2">
        <v>0</v>
      </c>
      <c r="H61" s="2">
        <v>4673</v>
      </c>
      <c r="I61" s="2">
        <v>1323</v>
      </c>
      <c r="J61" s="3">
        <f t="shared" si="2"/>
        <v>6667</v>
      </c>
      <c r="K61" s="3">
        <f t="shared" si="3"/>
        <v>224810</v>
      </c>
    </row>
    <row r="62" spans="1:11" x14ac:dyDescent="0.3">
      <c r="A62" s="3" t="s">
        <v>2</v>
      </c>
      <c r="B62" s="3" t="s">
        <v>63</v>
      </c>
      <c r="C62" s="3">
        <f t="shared" ref="C62:I62" si="4">SUM(C10:C61)</f>
        <v>24805</v>
      </c>
      <c r="D62" s="3">
        <f t="shared" si="4"/>
        <v>69</v>
      </c>
      <c r="E62" s="3">
        <f t="shared" si="4"/>
        <v>26378</v>
      </c>
      <c r="F62" s="3">
        <f t="shared" si="4"/>
        <v>250</v>
      </c>
      <c r="G62" s="3">
        <f t="shared" si="4"/>
        <v>7671</v>
      </c>
      <c r="H62" s="3">
        <f t="shared" si="4"/>
        <v>96039</v>
      </c>
      <c r="I62" s="3">
        <f t="shared" si="4"/>
        <v>69598</v>
      </c>
      <c r="J62" s="3">
        <f>SUM(J10:J61)</f>
        <v>224810</v>
      </c>
      <c r="K62" s="3"/>
    </row>
  </sheetData>
  <mergeCells count="3">
    <mergeCell ref="A6:K6"/>
    <mergeCell ref="A7:K7"/>
    <mergeCell ref="A8:K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N62"/>
  <sheetViews>
    <sheetView workbookViewId="0">
      <pane xSplit="2" ySplit="9" topLeftCell="C55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3.33203125" customWidth="1"/>
    <col min="4" max="4" width="12.88671875" customWidth="1"/>
    <col min="5" max="5" width="10" customWidth="1"/>
    <col min="6" max="6" width="11.6640625" customWidth="1"/>
    <col min="7" max="7" width="10" customWidth="1"/>
    <col min="8" max="8" width="12.6640625" customWidth="1"/>
    <col min="9" max="9" width="10" customWidth="1"/>
    <col min="10" max="10" width="11.109375" customWidth="1"/>
    <col min="11" max="11" width="23.5546875" customWidth="1"/>
    <col min="12" max="12" width="17" customWidth="1"/>
    <col min="13" max="13" width="16.21875" bestFit="1" customWidth="1"/>
    <col min="14" max="14" width="21.77734375" bestFit="1" customWidth="1"/>
  </cols>
  <sheetData>
    <row r="6" spans="1:14" ht="15.6" x14ac:dyDescent="0.3">
      <c r="A6" s="6" t="s">
        <v>64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spans="1:14" ht="15.6" x14ac:dyDescent="0.3">
      <c r="A7" s="6" t="s">
        <v>65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</row>
    <row r="8" spans="1:14" x14ac:dyDescent="0.3">
      <c r="A8" s="9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4" x14ac:dyDescent="0.3">
      <c r="A9" s="1"/>
      <c r="B9" s="1" t="s">
        <v>3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4" t="s">
        <v>88</v>
      </c>
      <c r="N9" s="4" t="s">
        <v>89</v>
      </c>
    </row>
    <row r="10" spans="1:14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5296</v>
      </c>
      <c r="I10" s="2">
        <v>0</v>
      </c>
      <c r="J10" s="2">
        <v>0</v>
      </c>
      <c r="K10" s="2">
        <v>0</v>
      </c>
      <c r="L10" s="2">
        <v>0</v>
      </c>
      <c r="M10" s="3">
        <f t="shared" ref="M10:M41" si="0">SUM(C10:L10)</f>
        <v>5296</v>
      </c>
      <c r="N10" s="3">
        <f>M10</f>
        <v>5296</v>
      </c>
    </row>
    <row r="11" spans="1:14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54967</v>
      </c>
      <c r="I11" s="2">
        <v>0</v>
      </c>
      <c r="J11" s="2">
        <v>0</v>
      </c>
      <c r="K11" s="2">
        <v>0</v>
      </c>
      <c r="L11" s="2">
        <v>0</v>
      </c>
      <c r="M11" s="3">
        <f t="shared" si="0"/>
        <v>54967</v>
      </c>
      <c r="N11" s="3">
        <f t="shared" ref="N11:N42" si="1">M11+N10</f>
        <v>60263</v>
      </c>
    </row>
    <row r="12" spans="1:14" x14ac:dyDescent="0.3">
      <c r="A12" s="3">
        <v>3</v>
      </c>
      <c r="B12" s="3" t="s">
        <v>13</v>
      </c>
      <c r="C12" s="2">
        <v>0</v>
      </c>
      <c r="D12" s="2">
        <v>0</v>
      </c>
      <c r="E12" s="2">
        <v>19966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44099</v>
      </c>
      <c r="L12" s="2">
        <v>0</v>
      </c>
      <c r="M12" s="3">
        <f t="shared" si="0"/>
        <v>64065</v>
      </c>
      <c r="N12" s="3">
        <f t="shared" si="1"/>
        <v>124328</v>
      </c>
    </row>
    <row r="13" spans="1:14" x14ac:dyDescent="0.3">
      <c r="A13" s="3">
        <v>4</v>
      </c>
      <c r="B13" s="3" t="s">
        <v>14</v>
      </c>
      <c r="C13" s="2">
        <v>0</v>
      </c>
      <c r="D13" s="2">
        <v>0</v>
      </c>
      <c r="E13" s="2">
        <v>3151</v>
      </c>
      <c r="F13" s="2">
        <v>0</v>
      </c>
      <c r="G13" s="2">
        <v>14513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3">
        <f t="shared" si="0"/>
        <v>17664</v>
      </c>
      <c r="N13" s="3">
        <f t="shared" si="1"/>
        <v>141992</v>
      </c>
    </row>
    <row r="14" spans="1:14" x14ac:dyDescent="0.3">
      <c r="A14" s="3">
        <v>5</v>
      </c>
      <c r="B14" s="3" t="s">
        <v>15</v>
      </c>
      <c r="C14" s="2">
        <v>0</v>
      </c>
      <c r="D14" s="2">
        <v>0</v>
      </c>
      <c r="E14" s="2">
        <v>30988</v>
      </c>
      <c r="F14" s="2">
        <v>0</v>
      </c>
      <c r="G14" s="2">
        <v>15624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f t="shared" si="0"/>
        <v>46612</v>
      </c>
      <c r="N14" s="3">
        <f t="shared" si="1"/>
        <v>188604</v>
      </c>
    </row>
    <row r="15" spans="1:14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5384</v>
      </c>
      <c r="I15" s="2">
        <v>5001</v>
      </c>
      <c r="J15" s="2">
        <v>0</v>
      </c>
      <c r="K15" s="2">
        <v>26349</v>
      </c>
      <c r="L15" s="2">
        <v>0</v>
      </c>
      <c r="M15" s="3">
        <f t="shared" si="0"/>
        <v>36734</v>
      </c>
      <c r="N15" s="3">
        <f t="shared" si="1"/>
        <v>225338</v>
      </c>
    </row>
    <row r="16" spans="1:14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19975</v>
      </c>
      <c r="J16" s="2">
        <v>0</v>
      </c>
      <c r="K16" s="2">
        <v>24310</v>
      </c>
      <c r="L16" s="2">
        <v>0</v>
      </c>
      <c r="M16" s="3">
        <f t="shared" si="0"/>
        <v>44285</v>
      </c>
      <c r="N16" s="3">
        <f t="shared" si="1"/>
        <v>269623</v>
      </c>
    </row>
    <row r="17" spans="1:14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16277</v>
      </c>
      <c r="J17" s="2">
        <v>0</v>
      </c>
      <c r="K17" s="2">
        <v>0</v>
      </c>
      <c r="L17" s="2">
        <v>0</v>
      </c>
      <c r="M17" s="3">
        <f t="shared" si="0"/>
        <v>16277</v>
      </c>
      <c r="N17" s="3">
        <f t="shared" si="1"/>
        <v>285900</v>
      </c>
    </row>
    <row r="18" spans="1:14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32233</v>
      </c>
      <c r="L18" s="2">
        <v>0</v>
      </c>
      <c r="M18" s="3">
        <f t="shared" si="0"/>
        <v>32233</v>
      </c>
      <c r="N18" s="3">
        <f t="shared" si="1"/>
        <v>318133</v>
      </c>
    </row>
    <row r="19" spans="1:14" x14ac:dyDescent="0.3">
      <c r="A19" s="3">
        <v>10</v>
      </c>
      <c r="B19" s="3" t="s">
        <v>20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44186</v>
      </c>
      <c r="L19" s="2">
        <v>0</v>
      </c>
      <c r="M19" s="3">
        <f t="shared" si="0"/>
        <v>44186</v>
      </c>
      <c r="N19" s="3">
        <f t="shared" si="1"/>
        <v>362319</v>
      </c>
    </row>
    <row r="20" spans="1:14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51127</v>
      </c>
      <c r="L20" s="2">
        <v>0</v>
      </c>
      <c r="M20" s="3">
        <f t="shared" si="0"/>
        <v>51127</v>
      </c>
      <c r="N20" s="3">
        <f t="shared" si="1"/>
        <v>413446</v>
      </c>
    </row>
    <row r="21" spans="1:14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25607</v>
      </c>
      <c r="L21" s="2">
        <v>0</v>
      </c>
      <c r="M21" s="3">
        <f t="shared" si="0"/>
        <v>25607</v>
      </c>
      <c r="N21" s="3">
        <f t="shared" si="1"/>
        <v>439053</v>
      </c>
    </row>
    <row r="22" spans="1:14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3">
        <f t="shared" si="0"/>
        <v>0</v>
      </c>
      <c r="N22" s="3">
        <f t="shared" si="1"/>
        <v>439053</v>
      </c>
    </row>
    <row r="23" spans="1:14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3">
        <f t="shared" si="0"/>
        <v>0</v>
      </c>
      <c r="N23" s="3">
        <f t="shared" si="1"/>
        <v>439053</v>
      </c>
    </row>
    <row r="24" spans="1:14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3">
        <f t="shared" si="0"/>
        <v>0</v>
      </c>
      <c r="N24" s="3">
        <f t="shared" si="1"/>
        <v>439053</v>
      </c>
    </row>
    <row r="25" spans="1:14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17316</v>
      </c>
      <c r="L25" s="2">
        <v>0</v>
      </c>
      <c r="M25" s="3">
        <f t="shared" si="0"/>
        <v>17316</v>
      </c>
      <c r="N25" s="3">
        <f t="shared" si="1"/>
        <v>456369</v>
      </c>
    </row>
    <row r="26" spans="1:14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2">
        <v>0</v>
      </c>
      <c r="G26" s="2">
        <v>6140</v>
      </c>
      <c r="H26" s="2">
        <v>0</v>
      </c>
      <c r="I26" s="2">
        <v>0</v>
      </c>
      <c r="J26" s="2">
        <v>0</v>
      </c>
      <c r="K26" s="2">
        <v>22160</v>
      </c>
      <c r="L26" s="2">
        <v>0</v>
      </c>
      <c r="M26" s="3">
        <f t="shared" si="0"/>
        <v>28300</v>
      </c>
      <c r="N26" s="3">
        <f t="shared" si="1"/>
        <v>484669</v>
      </c>
    </row>
    <row r="27" spans="1:14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2">
        <v>0</v>
      </c>
      <c r="G27" s="2">
        <v>18625</v>
      </c>
      <c r="H27" s="2">
        <v>0</v>
      </c>
      <c r="I27" s="2">
        <v>0</v>
      </c>
      <c r="J27" s="2">
        <v>3284</v>
      </c>
      <c r="K27" s="2">
        <v>10985</v>
      </c>
      <c r="L27" s="2">
        <v>0</v>
      </c>
      <c r="M27" s="3">
        <f t="shared" si="0"/>
        <v>32894</v>
      </c>
      <c r="N27" s="3">
        <f t="shared" si="1"/>
        <v>517563</v>
      </c>
    </row>
    <row r="28" spans="1:14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2">
        <v>0</v>
      </c>
      <c r="G28" s="2">
        <v>5371</v>
      </c>
      <c r="H28" s="2">
        <v>0</v>
      </c>
      <c r="I28" s="2">
        <v>0</v>
      </c>
      <c r="J28" s="2">
        <v>405</v>
      </c>
      <c r="K28" s="2">
        <v>6415</v>
      </c>
      <c r="L28" s="2">
        <v>0</v>
      </c>
      <c r="M28" s="3">
        <f t="shared" si="0"/>
        <v>12191</v>
      </c>
      <c r="N28" s="3">
        <f t="shared" si="1"/>
        <v>529754</v>
      </c>
    </row>
    <row r="29" spans="1:14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2">
        <v>0</v>
      </c>
      <c r="G29" s="2">
        <v>23405</v>
      </c>
      <c r="H29" s="2">
        <v>0</v>
      </c>
      <c r="I29" s="2">
        <v>0</v>
      </c>
      <c r="J29" s="2">
        <v>36625</v>
      </c>
      <c r="K29" s="2">
        <v>25560</v>
      </c>
      <c r="L29" s="2">
        <v>0</v>
      </c>
      <c r="M29" s="3">
        <f t="shared" si="0"/>
        <v>85590</v>
      </c>
      <c r="N29" s="3">
        <f t="shared" si="1"/>
        <v>615344</v>
      </c>
    </row>
    <row r="30" spans="1:14" x14ac:dyDescent="0.3">
      <c r="A30" s="3">
        <v>21</v>
      </c>
      <c r="B30" s="3" t="s">
        <v>31</v>
      </c>
      <c r="C30" s="2">
        <v>0</v>
      </c>
      <c r="D30" s="2">
        <v>2560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26886</v>
      </c>
      <c r="L30" s="2">
        <v>0</v>
      </c>
      <c r="M30" s="3">
        <f t="shared" si="0"/>
        <v>29446</v>
      </c>
      <c r="N30" s="3">
        <f t="shared" si="1"/>
        <v>644790</v>
      </c>
    </row>
    <row r="31" spans="1:14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39536</v>
      </c>
      <c r="I31" s="2">
        <v>0</v>
      </c>
      <c r="J31" s="2">
        <v>0</v>
      </c>
      <c r="K31" s="2">
        <v>1317</v>
      </c>
      <c r="L31" s="2">
        <v>0</v>
      </c>
      <c r="M31" s="3">
        <f t="shared" si="0"/>
        <v>40853</v>
      </c>
      <c r="N31" s="3">
        <f t="shared" si="1"/>
        <v>685643</v>
      </c>
    </row>
    <row r="32" spans="1:14" x14ac:dyDescent="0.3">
      <c r="A32" s="3">
        <v>23</v>
      </c>
      <c r="B32" s="3" t="s">
        <v>33</v>
      </c>
      <c r="C32" s="2">
        <v>0</v>
      </c>
      <c r="D32" s="2">
        <v>17981</v>
      </c>
      <c r="E32" s="2">
        <v>0</v>
      </c>
      <c r="F32" s="2">
        <v>0</v>
      </c>
      <c r="G32" s="2">
        <v>0</v>
      </c>
      <c r="H32" s="2">
        <v>31284</v>
      </c>
      <c r="I32" s="2">
        <v>0</v>
      </c>
      <c r="J32" s="2">
        <v>0</v>
      </c>
      <c r="K32" s="2">
        <v>109</v>
      </c>
      <c r="L32" s="2">
        <v>0</v>
      </c>
      <c r="M32" s="3">
        <f t="shared" si="0"/>
        <v>49374</v>
      </c>
      <c r="N32" s="3">
        <f t="shared" si="1"/>
        <v>735017</v>
      </c>
    </row>
    <row r="33" spans="1:14" x14ac:dyDescent="0.3">
      <c r="A33" s="3">
        <v>24</v>
      </c>
      <c r="B33" s="3" t="s">
        <v>34</v>
      </c>
      <c r="C33" s="2">
        <v>0</v>
      </c>
      <c r="D33" s="2">
        <v>11571</v>
      </c>
      <c r="E33" s="2">
        <v>0</v>
      </c>
      <c r="F33" s="2">
        <v>0</v>
      </c>
      <c r="G33" s="2">
        <v>0</v>
      </c>
      <c r="H33" s="2">
        <v>25325</v>
      </c>
      <c r="I33" s="2">
        <v>6733</v>
      </c>
      <c r="J33" s="2">
        <v>0</v>
      </c>
      <c r="K33" s="2">
        <v>542</v>
      </c>
      <c r="L33" s="2">
        <v>0</v>
      </c>
      <c r="M33" s="3">
        <f t="shared" si="0"/>
        <v>44171</v>
      </c>
      <c r="N33" s="3">
        <f t="shared" si="1"/>
        <v>779188</v>
      </c>
    </row>
    <row r="34" spans="1:14" x14ac:dyDescent="0.3">
      <c r="A34" s="3">
        <v>25</v>
      </c>
      <c r="B34" s="3" t="s">
        <v>35</v>
      </c>
      <c r="C34" s="2">
        <v>0</v>
      </c>
      <c r="D34" s="2">
        <v>3912</v>
      </c>
      <c r="E34" s="2">
        <v>0</v>
      </c>
      <c r="F34" s="2">
        <v>0</v>
      </c>
      <c r="G34" s="2">
        <v>0</v>
      </c>
      <c r="H34" s="2">
        <v>15372</v>
      </c>
      <c r="I34" s="2">
        <v>44340</v>
      </c>
      <c r="J34" s="2">
        <v>0</v>
      </c>
      <c r="K34" s="2">
        <v>221</v>
      </c>
      <c r="L34" s="2">
        <v>0</v>
      </c>
      <c r="M34" s="3">
        <f t="shared" si="0"/>
        <v>63845</v>
      </c>
      <c r="N34" s="3">
        <f t="shared" si="1"/>
        <v>843033</v>
      </c>
    </row>
    <row r="35" spans="1:14" x14ac:dyDescent="0.3">
      <c r="A35" s="3">
        <v>26</v>
      </c>
      <c r="B35" s="3" t="s">
        <v>36</v>
      </c>
      <c r="C35" s="2">
        <v>0</v>
      </c>
      <c r="D35" s="2">
        <v>5946</v>
      </c>
      <c r="E35" s="2">
        <v>0</v>
      </c>
      <c r="F35" s="2">
        <v>0</v>
      </c>
      <c r="G35" s="2">
        <v>0</v>
      </c>
      <c r="H35" s="2">
        <v>13846</v>
      </c>
      <c r="I35" s="2">
        <v>0</v>
      </c>
      <c r="J35" s="2">
        <v>0</v>
      </c>
      <c r="K35" s="2">
        <v>326</v>
      </c>
      <c r="L35" s="2">
        <v>0</v>
      </c>
      <c r="M35" s="3">
        <f t="shared" si="0"/>
        <v>20118</v>
      </c>
      <c r="N35" s="3">
        <f t="shared" si="1"/>
        <v>863151</v>
      </c>
    </row>
    <row r="36" spans="1:14" x14ac:dyDescent="0.3">
      <c r="A36" s="3">
        <v>27</v>
      </c>
      <c r="B36" s="3" t="s">
        <v>37</v>
      </c>
      <c r="C36" s="2">
        <v>0</v>
      </c>
      <c r="D36" s="2">
        <v>19062</v>
      </c>
      <c r="E36" s="2">
        <v>0</v>
      </c>
      <c r="F36" s="2">
        <v>0</v>
      </c>
      <c r="G36" s="2">
        <v>0</v>
      </c>
      <c r="H36" s="2">
        <v>3327</v>
      </c>
      <c r="I36" s="2">
        <v>0</v>
      </c>
      <c r="J36" s="2">
        <v>0</v>
      </c>
      <c r="K36" s="2">
        <v>35</v>
      </c>
      <c r="L36" s="2">
        <v>0</v>
      </c>
      <c r="M36" s="3">
        <f t="shared" si="0"/>
        <v>22424</v>
      </c>
      <c r="N36" s="3">
        <f t="shared" si="1"/>
        <v>885575</v>
      </c>
    </row>
    <row r="37" spans="1:14" x14ac:dyDescent="0.3">
      <c r="A37" s="3">
        <v>28</v>
      </c>
      <c r="B37" s="3" t="s">
        <v>38</v>
      </c>
      <c r="C37" s="2">
        <v>0</v>
      </c>
      <c r="D37" s="2">
        <v>0</v>
      </c>
      <c r="E37" s="2">
        <v>29360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3">
        <f t="shared" si="0"/>
        <v>29360</v>
      </c>
      <c r="N37" s="3">
        <f t="shared" si="1"/>
        <v>914935</v>
      </c>
    </row>
    <row r="38" spans="1:14" x14ac:dyDescent="0.3">
      <c r="A38" s="3">
        <v>29</v>
      </c>
      <c r="B38" s="3" t="s">
        <v>39</v>
      </c>
      <c r="C38" s="2">
        <v>27404</v>
      </c>
      <c r="D38" s="2">
        <v>0</v>
      </c>
      <c r="E38" s="2">
        <v>27618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3">
        <f t="shared" si="0"/>
        <v>55022</v>
      </c>
      <c r="N38" s="3">
        <f t="shared" si="1"/>
        <v>969957</v>
      </c>
    </row>
    <row r="39" spans="1:14" x14ac:dyDescent="0.3">
      <c r="A39" s="3">
        <v>30</v>
      </c>
      <c r="B39" s="3" t="s">
        <v>40</v>
      </c>
      <c r="C39" s="2">
        <v>0</v>
      </c>
      <c r="D39" s="2">
        <v>0</v>
      </c>
      <c r="E39" s="2">
        <v>24793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3">
        <f t="shared" si="0"/>
        <v>24793</v>
      </c>
      <c r="N39" s="3">
        <f t="shared" si="1"/>
        <v>994750</v>
      </c>
    </row>
    <row r="40" spans="1:14" x14ac:dyDescent="0.3">
      <c r="A40" s="3">
        <v>31</v>
      </c>
      <c r="B40" s="3" t="s">
        <v>41</v>
      </c>
      <c r="C40" s="2">
        <v>0</v>
      </c>
      <c r="D40" s="2">
        <v>27707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3">
        <f t="shared" si="0"/>
        <v>27707</v>
      </c>
      <c r="N40" s="3">
        <f t="shared" si="1"/>
        <v>1022457</v>
      </c>
    </row>
    <row r="41" spans="1:14" x14ac:dyDescent="0.3">
      <c r="A41" s="3">
        <v>32</v>
      </c>
      <c r="B41" s="3" t="s">
        <v>42</v>
      </c>
      <c r="C41" s="2">
        <v>0</v>
      </c>
      <c r="D41" s="2">
        <v>39982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3">
        <f t="shared" si="0"/>
        <v>39982</v>
      </c>
      <c r="N41" s="3">
        <f t="shared" si="1"/>
        <v>1062439</v>
      </c>
    </row>
    <row r="42" spans="1:14" x14ac:dyDescent="0.3">
      <c r="A42" s="3">
        <v>33</v>
      </c>
      <c r="B42" s="3" t="s">
        <v>43</v>
      </c>
      <c r="C42" s="2">
        <v>0</v>
      </c>
      <c r="D42" s="2">
        <v>51480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6705</v>
      </c>
      <c r="M42" s="3">
        <f t="shared" ref="M42:M73" si="2">SUM(C42:L42)</f>
        <v>58185</v>
      </c>
      <c r="N42" s="3">
        <f t="shared" si="1"/>
        <v>1120624</v>
      </c>
    </row>
    <row r="43" spans="1:14" x14ac:dyDescent="0.3">
      <c r="A43" s="3">
        <v>34</v>
      </c>
      <c r="B43" s="3" t="s">
        <v>44</v>
      </c>
      <c r="C43" s="2">
        <v>0</v>
      </c>
      <c r="D43" s="2">
        <v>4420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4300</v>
      </c>
      <c r="M43" s="3">
        <f t="shared" si="2"/>
        <v>8720</v>
      </c>
      <c r="N43" s="3">
        <f t="shared" ref="N43:N61" si="3">M43+N42</f>
        <v>1129344</v>
      </c>
    </row>
    <row r="44" spans="1:14" x14ac:dyDescent="0.3">
      <c r="A44" s="3">
        <v>35</v>
      </c>
      <c r="B44" s="3" t="s">
        <v>45</v>
      </c>
      <c r="C44" s="2">
        <v>0</v>
      </c>
      <c r="D44" s="2">
        <v>3387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3">
        <f t="shared" si="2"/>
        <v>3387</v>
      </c>
      <c r="N44" s="3">
        <f t="shared" si="3"/>
        <v>1132731</v>
      </c>
    </row>
    <row r="45" spans="1:14" x14ac:dyDescent="0.3">
      <c r="A45" s="3">
        <v>36</v>
      </c>
      <c r="B45" s="3" t="s">
        <v>46</v>
      </c>
      <c r="C45" s="2">
        <v>0</v>
      </c>
      <c r="D45" s="2">
        <v>23319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3">
        <f t="shared" si="2"/>
        <v>23319</v>
      </c>
      <c r="N45" s="3">
        <f t="shared" si="3"/>
        <v>1156050</v>
      </c>
    </row>
    <row r="46" spans="1:14" x14ac:dyDescent="0.3">
      <c r="A46" s="3">
        <v>37</v>
      </c>
      <c r="B46" s="3" t="s">
        <v>47</v>
      </c>
      <c r="C46" s="2">
        <v>0</v>
      </c>
      <c r="D46" s="2">
        <v>5617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3">
        <f t="shared" si="2"/>
        <v>5617</v>
      </c>
      <c r="N46" s="3">
        <f t="shared" si="3"/>
        <v>1161667</v>
      </c>
    </row>
    <row r="47" spans="1:14" x14ac:dyDescent="0.3">
      <c r="A47" s="3">
        <v>38</v>
      </c>
      <c r="B47" s="3" t="s">
        <v>48</v>
      </c>
      <c r="C47" s="2">
        <v>0</v>
      </c>
      <c r="D47" s="2">
        <v>26194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3">
        <f t="shared" si="2"/>
        <v>26194</v>
      </c>
      <c r="N47" s="3">
        <f t="shared" si="3"/>
        <v>1187861</v>
      </c>
    </row>
    <row r="48" spans="1:14" x14ac:dyDescent="0.3">
      <c r="A48" s="3">
        <v>39</v>
      </c>
      <c r="B48" s="3" t="s">
        <v>49</v>
      </c>
      <c r="C48" s="2">
        <v>0</v>
      </c>
      <c r="D48" s="2">
        <v>57104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3">
        <f t="shared" si="2"/>
        <v>57104</v>
      </c>
      <c r="N48" s="3">
        <f t="shared" si="3"/>
        <v>1244965</v>
      </c>
    </row>
    <row r="49" spans="1:14" x14ac:dyDescent="0.3">
      <c r="A49" s="3">
        <v>40</v>
      </c>
      <c r="B49" s="3" t="s">
        <v>50</v>
      </c>
      <c r="C49" s="2">
        <v>0</v>
      </c>
      <c r="D49" s="2">
        <v>3306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3">
        <f t="shared" si="2"/>
        <v>3306</v>
      </c>
      <c r="N49" s="3">
        <f t="shared" si="3"/>
        <v>1248271</v>
      </c>
    </row>
    <row r="50" spans="1:14" x14ac:dyDescent="0.3">
      <c r="A50" s="3">
        <v>41</v>
      </c>
      <c r="B50" s="3" t="s">
        <v>51</v>
      </c>
      <c r="C50" s="2">
        <v>0</v>
      </c>
      <c r="D50" s="2">
        <v>21680</v>
      </c>
      <c r="E50" s="2">
        <v>0</v>
      </c>
      <c r="F50" s="2">
        <v>23498</v>
      </c>
      <c r="G50" s="2">
        <v>0</v>
      </c>
      <c r="H50" s="2">
        <v>0</v>
      </c>
      <c r="I50" s="2">
        <v>0</v>
      </c>
      <c r="J50" s="2">
        <v>0</v>
      </c>
      <c r="K50" s="2">
        <v>11038</v>
      </c>
      <c r="L50" s="2">
        <v>0</v>
      </c>
      <c r="M50" s="3">
        <f t="shared" si="2"/>
        <v>56216</v>
      </c>
      <c r="N50" s="3">
        <f t="shared" si="3"/>
        <v>1304487</v>
      </c>
    </row>
    <row r="51" spans="1:14" x14ac:dyDescent="0.3">
      <c r="A51" s="3">
        <v>42</v>
      </c>
      <c r="B51" s="3" t="s">
        <v>52</v>
      </c>
      <c r="C51" s="2">
        <v>0</v>
      </c>
      <c r="D51" s="2">
        <v>67620</v>
      </c>
      <c r="E51" s="2">
        <v>0</v>
      </c>
      <c r="F51" s="2">
        <v>8025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3">
        <f t="shared" si="2"/>
        <v>75645</v>
      </c>
      <c r="N51" s="3">
        <f t="shared" si="3"/>
        <v>1380132</v>
      </c>
    </row>
    <row r="52" spans="1:14" x14ac:dyDescent="0.3">
      <c r="A52" s="3">
        <v>43</v>
      </c>
      <c r="B52" s="3" t="s">
        <v>53</v>
      </c>
      <c r="C52" s="2">
        <v>0</v>
      </c>
      <c r="D52" s="2">
        <v>9603</v>
      </c>
      <c r="E52" s="2">
        <v>0</v>
      </c>
      <c r="F52" s="2">
        <v>18507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3">
        <f t="shared" si="2"/>
        <v>28110</v>
      </c>
      <c r="N52" s="3">
        <f t="shared" si="3"/>
        <v>1408242</v>
      </c>
    </row>
    <row r="53" spans="1:14" x14ac:dyDescent="0.3">
      <c r="A53" s="3">
        <v>44</v>
      </c>
      <c r="B53" s="3" t="s">
        <v>54</v>
      </c>
      <c r="C53" s="2">
        <v>0</v>
      </c>
      <c r="D53" s="2">
        <v>25241</v>
      </c>
      <c r="E53" s="2">
        <v>0</v>
      </c>
      <c r="F53" s="2">
        <v>1396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3">
        <f t="shared" si="2"/>
        <v>26637</v>
      </c>
      <c r="N53" s="3">
        <f t="shared" si="3"/>
        <v>1434879</v>
      </c>
    </row>
    <row r="54" spans="1:14" x14ac:dyDescent="0.3">
      <c r="A54" s="3">
        <v>45</v>
      </c>
      <c r="B54" s="3" t="s">
        <v>55</v>
      </c>
      <c r="C54" s="2">
        <v>0</v>
      </c>
      <c r="D54" s="2">
        <v>11624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5030</v>
      </c>
      <c r="L54" s="2">
        <v>23180</v>
      </c>
      <c r="M54" s="3">
        <f t="shared" si="2"/>
        <v>39834</v>
      </c>
      <c r="N54" s="3">
        <f t="shared" si="3"/>
        <v>1474713</v>
      </c>
    </row>
    <row r="55" spans="1:14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21936</v>
      </c>
      <c r="L55" s="2">
        <v>40408</v>
      </c>
      <c r="M55" s="3">
        <f t="shared" si="2"/>
        <v>62344</v>
      </c>
      <c r="N55" s="3">
        <f t="shared" si="3"/>
        <v>1537057</v>
      </c>
    </row>
    <row r="56" spans="1:14" x14ac:dyDescent="0.3">
      <c r="A56" s="3">
        <v>47</v>
      </c>
      <c r="B56" s="3" t="s">
        <v>57</v>
      </c>
      <c r="C56" s="2">
        <v>0</v>
      </c>
      <c r="D56" s="2">
        <v>1850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32359</v>
      </c>
      <c r="M56" s="3">
        <f t="shared" si="2"/>
        <v>34209</v>
      </c>
      <c r="N56" s="3">
        <f t="shared" si="3"/>
        <v>1571266</v>
      </c>
    </row>
    <row r="57" spans="1:14" x14ac:dyDescent="0.3">
      <c r="A57" s="3">
        <v>48</v>
      </c>
      <c r="B57" s="3" t="s">
        <v>58</v>
      </c>
      <c r="C57" s="2">
        <v>0</v>
      </c>
      <c r="D57" s="2">
        <v>38441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3">
        <f t="shared" si="2"/>
        <v>38441</v>
      </c>
      <c r="N57" s="3">
        <f t="shared" si="3"/>
        <v>1609707</v>
      </c>
    </row>
    <row r="58" spans="1:14" x14ac:dyDescent="0.3">
      <c r="A58" s="3">
        <v>49</v>
      </c>
      <c r="B58" s="3" t="s">
        <v>59</v>
      </c>
      <c r="C58" s="2">
        <v>0</v>
      </c>
      <c r="D58" s="2">
        <v>23322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17760</v>
      </c>
      <c r="K58" s="2">
        <v>3280</v>
      </c>
      <c r="L58" s="2">
        <v>0</v>
      </c>
      <c r="M58" s="3">
        <f t="shared" si="2"/>
        <v>44362</v>
      </c>
      <c r="N58" s="3">
        <f t="shared" si="3"/>
        <v>1654069</v>
      </c>
    </row>
    <row r="59" spans="1:14" x14ac:dyDescent="0.3">
      <c r="A59" s="3">
        <v>50</v>
      </c>
      <c r="B59" s="3" t="s">
        <v>60</v>
      </c>
      <c r="C59" s="2">
        <v>0</v>
      </c>
      <c r="D59" s="2">
        <v>16794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21984</v>
      </c>
      <c r="K59" s="2">
        <v>44618</v>
      </c>
      <c r="L59" s="2">
        <v>240</v>
      </c>
      <c r="M59" s="3">
        <f t="shared" si="2"/>
        <v>83636</v>
      </c>
      <c r="N59" s="3">
        <f t="shared" si="3"/>
        <v>1737705</v>
      </c>
    </row>
    <row r="60" spans="1:14" x14ac:dyDescent="0.3">
      <c r="A60" s="3">
        <v>51</v>
      </c>
      <c r="B60" s="3" t="s">
        <v>61</v>
      </c>
      <c r="C60" s="2">
        <v>0</v>
      </c>
      <c r="D60" s="2">
        <v>27626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31554</v>
      </c>
      <c r="M60" s="3">
        <f t="shared" si="2"/>
        <v>59180</v>
      </c>
      <c r="N60" s="3">
        <f t="shared" si="3"/>
        <v>1796885</v>
      </c>
    </row>
    <row r="61" spans="1:14" x14ac:dyDescent="0.3">
      <c r="A61" s="3">
        <v>52</v>
      </c>
      <c r="B61" s="3" t="s">
        <v>62</v>
      </c>
      <c r="C61" s="2">
        <v>0</v>
      </c>
      <c r="D61" s="2">
        <v>19964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25392</v>
      </c>
      <c r="M61" s="3">
        <f t="shared" si="2"/>
        <v>45356</v>
      </c>
      <c r="N61" s="3">
        <f t="shared" si="3"/>
        <v>1842241</v>
      </c>
    </row>
    <row r="62" spans="1:14" x14ac:dyDescent="0.3">
      <c r="A62" s="3" t="s">
        <v>2</v>
      </c>
      <c r="B62" s="3" t="s">
        <v>63</v>
      </c>
      <c r="C62" s="3">
        <f t="shared" ref="C62:L62" si="4">SUM(C10:C61)</f>
        <v>27404</v>
      </c>
      <c r="D62" s="3">
        <f t="shared" si="4"/>
        <v>567313</v>
      </c>
      <c r="E62" s="3">
        <f t="shared" si="4"/>
        <v>135876</v>
      </c>
      <c r="F62" s="3">
        <f t="shared" si="4"/>
        <v>51426</v>
      </c>
      <c r="G62" s="3">
        <f t="shared" si="4"/>
        <v>83678</v>
      </c>
      <c r="H62" s="3">
        <f t="shared" si="4"/>
        <v>194337</v>
      </c>
      <c r="I62" s="3">
        <f t="shared" si="4"/>
        <v>92326</v>
      </c>
      <c r="J62" s="3">
        <f t="shared" si="4"/>
        <v>80058</v>
      </c>
      <c r="K62" s="3">
        <f t="shared" si="4"/>
        <v>445685</v>
      </c>
      <c r="L62" s="3">
        <f t="shared" si="4"/>
        <v>164138</v>
      </c>
      <c r="M62" s="3">
        <f>SUM(M10:M61)</f>
        <v>1842241</v>
      </c>
      <c r="N62" s="3"/>
    </row>
  </sheetData>
  <mergeCells count="3">
    <mergeCell ref="A6:N6"/>
    <mergeCell ref="A7:N7"/>
    <mergeCell ref="A8:N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L62"/>
  <sheetViews>
    <sheetView workbookViewId="0">
      <pane xSplit="2" ySplit="9" topLeftCell="C55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2.88671875" customWidth="1"/>
    <col min="4" max="4" width="11.6640625" customWidth="1"/>
    <col min="5" max="5" width="10" customWidth="1"/>
    <col min="6" max="6" width="12.6640625" customWidth="1"/>
    <col min="7" max="7" width="10" customWidth="1"/>
    <col min="8" max="8" width="11.109375" customWidth="1"/>
    <col min="9" max="9" width="23.5546875" customWidth="1"/>
    <col min="10" max="10" width="17" customWidth="1"/>
    <col min="11" max="11" width="16.21875" bestFit="1" customWidth="1"/>
    <col min="12" max="12" width="21.77734375" bestFit="1" customWidth="1"/>
  </cols>
  <sheetData>
    <row r="6" spans="1:12" ht="15.6" x14ac:dyDescent="0.3">
      <c r="A6" s="6" t="s">
        <v>76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spans="1:12" ht="15.6" x14ac:dyDescent="0.3">
      <c r="A7" s="6" t="s">
        <v>77</v>
      </c>
      <c r="B7" s="7"/>
      <c r="C7" s="7"/>
      <c r="D7" s="7"/>
      <c r="E7" s="7"/>
      <c r="F7" s="7"/>
      <c r="G7" s="7"/>
      <c r="H7" s="7"/>
      <c r="I7" s="7"/>
      <c r="J7" s="7"/>
      <c r="K7" s="7"/>
      <c r="L7" s="8"/>
    </row>
    <row r="8" spans="1:12" x14ac:dyDescent="0.3">
      <c r="A8" s="9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x14ac:dyDescent="0.3">
      <c r="A9" s="1"/>
      <c r="B9" s="1" t="s">
        <v>3</v>
      </c>
      <c r="C9" s="1" t="s">
        <v>67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4" t="s">
        <v>88</v>
      </c>
      <c r="L9" s="4" t="s">
        <v>89</v>
      </c>
    </row>
    <row r="10" spans="1:12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3">
        <f t="shared" ref="K10:K41" si="0">SUM(C10:J10)</f>
        <v>0</v>
      </c>
      <c r="L10" s="3">
        <f>K10</f>
        <v>0</v>
      </c>
    </row>
    <row r="11" spans="1:12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3">
        <f t="shared" si="0"/>
        <v>0</v>
      </c>
      <c r="L11" s="3">
        <f t="shared" ref="L11:L42" si="1">K11+L10</f>
        <v>0</v>
      </c>
    </row>
    <row r="12" spans="1:12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9847</v>
      </c>
      <c r="J12" s="2">
        <v>0</v>
      </c>
      <c r="K12" s="3">
        <f t="shared" si="0"/>
        <v>9847</v>
      </c>
      <c r="L12" s="3">
        <f t="shared" si="1"/>
        <v>9847</v>
      </c>
    </row>
    <row r="13" spans="1:12" x14ac:dyDescent="0.3">
      <c r="A13" s="3">
        <v>4</v>
      </c>
      <c r="B13" s="3" t="s">
        <v>14</v>
      </c>
      <c r="C13" s="2">
        <v>0</v>
      </c>
      <c r="D13" s="2">
        <v>0</v>
      </c>
      <c r="E13" s="2">
        <v>1002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3">
        <f t="shared" si="0"/>
        <v>1002</v>
      </c>
      <c r="L13" s="3">
        <f t="shared" si="1"/>
        <v>10849</v>
      </c>
    </row>
    <row r="14" spans="1:12" x14ac:dyDescent="0.3">
      <c r="A14" s="3">
        <v>5</v>
      </c>
      <c r="B14" s="3" t="s">
        <v>15</v>
      </c>
      <c r="C14" s="2">
        <v>0</v>
      </c>
      <c r="D14" s="2">
        <v>0</v>
      </c>
      <c r="E14" s="2">
        <v>2336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f t="shared" si="0"/>
        <v>2336</v>
      </c>
      <c r="L14" s="3">
        <f t="shared" si="1"/>
        <v>13185</v>
      </c>
    </row>
    <row r="15" spans="1:12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2">
        <v>18756</v>
      </c>
      <c r="G15" s="2">
        <v>0</v>
      </c>
      <c r="H15" s="2">
        <v>0</v>
      </c>
      <c r="I15" s="2">
        <v>0</v>
      </c>
      <c r="J15" s="2">
        <v>0</v>
      </c>
      <c r="K15" s="3">
        <f t="shared" si="0"/>
        <v>18756</v>
      </c>
      <c r="L15" s="3">
        <f t="shared" si="1"/>
        <v>31941</v>
      </c>
    </row>
    <row r="16" spans="1:12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2">
        <v>0</v>
      </c>
      <c r="G16" s="2">
        <v>1556</v>
      </c>
      <c r="H16" s="2">
        <v>0</v>
      </c>
      <c r="I16" s="2">
        <v>4265</v>
      </c>
      <c r="J16" s="2">
        <v>0</v>
      </c>
      <c r="K16" s="3">
        <f t="shared" si="0"/>
        <v>5821</v>
      </c>
      <c r="L16" s="3">
        <f t="shared" si="1"/>
        <v>37762</v>
      </c>
    </row>
    <row r="17" spans="1:12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2">
        <v>0</v>
      </c>
      <c r="G17" s="2">
        <v>3449</v>
      </c>
      <c r="H17" s="2">
        <v>0</v>
      </c>
      <c r="I17" s="2">
        <v>0</v>
      </c>
      <c r="J17" s="2">
        <v>0</v>
      </c>
      <c r="K17" s="3">
        <f t="shared" si="0"/>
        <v>3449</v>
      </c>
      <c r="L17" s="3">
        <f t="shared" si="1"/>
        <v>41211</v>
      </c>
    </row>
    <row r="18" spans="1:12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213</v>
      </c>
      <c r="J18" s="2">
        <v>0</v>
      </c>
      <c r="K18" s="3">
        <f t="shared" si="0"/>
        <v>213</v>
      </c>
      <c r="L18" s="3">
        <f t="shared" si="1"/>
        <v>41424</v>
      </c>
    </row>
    <row r="19" spans="1:12" x14ac:dyDescent="0.3">
      <c r="A19" s="3">
        <v>10</v>
      </c>
      <c r="B19" s="3" t="s">
        <v>20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2795</v>
      </c>
      <c r="J19" s="2">
        <v>0</v>
      </c>
      <c r="K19" s="3">
        <f t="shared" si="0"/>
        <v>2795</v>
      </c>
      <c r="L19" s="3">
        <f t="shared" si="1"/>
        <v>44219</v>
      </c>
    </row>
    <row r="20" spans="1:12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7179</v>
      </c>
      <c r="J20" s="2">
        <v>0</v>
      </c>
      <c r="K20" s="3">
        <f t="shared" si="0"/>
        <v>7179</v>
      </c>
      <c r="L20" s="3">
        <f t="shared" si="1"/>
        <v>51398</v>
      </c>
    </row>
    <row r="21" spans="1:12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3966</v>
      </c>
      <c r="J21" s="2">
        <v>0</v>
      </c>
      <c r="K21" s="3">
        <f t="shared" si="0"/>
        <v>3966</v>
      </c>
      <c r="L21" s="3">
        <f t="shared" si="1"/>
        <v>55364</v>
      </c>
    </row>
    <row r="22" spans="1:12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3">
        <f t="shared" si="0"/>
        <v>0</v>
      </c>
      <c r="L22" s="3">
        <f t="shared" si="1"/>
        <v>55364</v>
      </c>
    </row>
    <row r="23" spans="1:12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3">
        <f t="shared" si="0"/>
        <v>0</v>
      </c>
      <c r="L23" s="3">
        <f t="shared" si="1"/>
        <v>55364</v>
      </c>
    </row>
    <row r="24" spans="1:12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3">
        <f t="shared" si="0"/>
        <v>0</v>
      </c>
      <c r="L24" s="3">
        <f t="shared" si="1"/>
        <v>55364</v>
      </c>
    </row>
    <row r="25" spans="1:12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8518</v>
      </c>
      <c r="J25" s="2">
        <v>0</v>
      </c>
      <c r="K25" s="3">
        <f t="shared" si="0"/>
        <v>8518</v>
      </c>
      <c r="L25" s="3">
        <f t="shared" si="1"/>
        <v>63882</v>
      </c>
    </row>
    <row r="26" spans="1:12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36</v>
      </c>
      <c r="J26" s="2">
        <v>0</v>
      </c>
      <c r="K26" s="3">
        <f t="shared" si="0"/>
        <v>36</v>
      </c>
      <c r="L26" s="3">
        <f t="shared" si="1"/>
        <v>63918</v>
      </c>
    </row>
    <row r="27" spans="1:12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12939</v>
      </c>
      <c r="I27" s="2">
        <v>0</v>
      </c>
      <c r="J27" s="2">
        <v>0</v>
      </c>
      <c r="K27" s="3">
        <f t="shared" si="0"/>
        <v>12939</v>
      </c>
      <c r="L27" s="3">
        <f t="shared" si="1"/>
        <v>76857</v>
      </c>
    </row>
    <row r="28" spans="1:12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3">
        <f t="shared" si="0"/>
        <v>0</v>
      </c>
      <c r="L28" s="3">
        <f t="shared" si="1"/>
        <v>76857</v>
      </c>
    </row>
    <row r="29" spans="1:12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7975</v>
      </c>
      <c r="J29" s="2">
        <v>0</v>
      </c>
      <c r="K29" s="3">
        <f t="shared" si="0"/>
        <v>7975</v>
      </c>
      <c r="L29" s="3">
        <f t="shared" si="1"/>
        <v>84832</v>
      </c>
    </row>
    <row r="30" spans="1:12" x14ac:dyDescent="0.3">
      <c r="A30" s="3">
        <v>21</v>
      </c>
      <c r="B30" s="3" t="s">
        <v>31</v>
      </c>
      <c r="C30" s="2">
        <v>3446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9943</v>
      </c>
      <c r="J30" s="2">
        <v>0</v>
      </c>
      <c r="K30" s="3">
        <f t="shared" si="0"/>
        <v>13389</v>
      </c>
      <c r="L30" s="3">
        <f t="shared" si="1"/>
        <v>98221</v>
      </c>
    </row>
    <row r="31" spans="1:12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2">
        <v>14713</v>
      </c>
      <c r="G31" s="2">
        <v>0</v>
      </c>
      <c r="H31" s="2">
        <v>0</v>
      </c>
      <c r="I31" s="2">
        <v>0</v>
      </c>
      <c r="J31" s="2">
        <v>0</v>
      </c>
      <c r="K31" s="3">
        <f t="shared" si="0"/>
        <v>14713</v>
      </c>
      <c r="L31" s="3">
        <f t="shared" si="1"/>
        <v>112934</v>
      </c>
    </row>
    <row r="32" spans="1:12" x14ac:dyDescent="0.3">
      <c r="A32" s="3">
        <v>23</v>
      </c>
      <c r="B32" s="3" t="s">
        <v>33</v>
      </c>
      <c r="C32" s="2">
        <v>6558</v>
      </c>
      <c r="D32" s="2">
        <v>0</v>
      </c>
      <c r="E32" s="2">
        <v>0</v>
      </c>
      <c r="F32" s="2">
        <v>4790</v>
      </c>
      <c r="G32" s="2">
        <v>0</v>
      </c>
      <c r="H32" s="2">
        <v>0</v>
      </c>
      <c r="I32" s="2">
        <v>0</v>
      </c>
      <c r="J32" s="2">
        <v>0</v>
      </c>
      <c r="K32" s="3">
        <f t="shared" si="0"/>
        <v>11348</v>
      </c>
      <c r="L32" s="3">
        <f t="shared" si="1"/>
        <v>124282</v>
      </c>
    </row>
    <row r="33" spans="1:12" x14ac:dyDescent="0.3">
      <c r="A33" s="3">
        <v>24</v>
      </c>
      <c r="B33" s="3" t="s">
        <v>34</v>
      </c>
      <c r="C33" s="2">
        <v>0</v>
      </c>
      <c r="D33" s="2">
        <v>0</v>
      </c>
      <c r="E33" s="2">
        <v>0</v>
      </c>
      <c r="F33" s="2">
        <v>3485</v>
      </c>
      <c r="G33" s="2">
        <v>0</v>
      </c>
      <c r="H33" s="2">
        <v>0</v>
      </c>
      <c r="I33" s="2">
        <v>0</v>
      </c>
      <c r="J33" s="2">
        <v>0</v>
      </c>
      <c r="K33" s="3">
        <f t="shared" si="0"/>
        <v>3485</v>
      </c>
      <c r="L33" s="3">
        <f t="shared" si="1"/>
        <v>127767</v>
      </c>
    </row>
    <row r="34" spans="1:12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2">
        <v>0</v>
      </c>
      <c r="G34" s="2">
        <v>1983</v>
      </c>
      <c r="H34" s="2">
        <v>0</v>
      </c>
      <c r="I34" s="2">
        <v>0</v>
      </c>
      <c r="J34" s="2">
        <v>0</v>
      </c>
      <c r="K34" s="3">
        <f t="shared" si="0"/>
        <v>1983</v>
      </c>
      <c r="L34" s="3">
        <f t="shared" si="1"/>
        <v>129750</v>
      </c>
    </row>
    <row r="35" spans="1:12" x14ac:dyDescent="0.3">
      <c r="A35" s="3">
        <v>26</v>
      </c>
      <c r="B35" s="3" t="s">
        <v>36</v>
      </c>
      <c r="C35" s="2">
        <v>0</v>
      </c>
      <c r="D35" s="2">
        <v>0</v>
      </c>
      <c r="E35" s="2">
        <v>0</v>
      </c>
      <c r="F35" s="2">
        <v>15791</v>
      </c>
      <c r="G35" s="2">
        <v>0</v>
      </c>
      <c r="H35" s="2">
        <v>0</v>
      </c>
      <c r="I35" s="2">
        <v>0</v>
      </c>
      <c r="J35" s="2">
        <v>0</v>
      </c>
      <c r="K35" s="3">
        <f t="shared" si="0"/>
        <v>15791</v>
      </c>
      <c r="L35" s="3">
        <f t="shared" si="1"/>
        <v>145541</v>
      </c>
    </row>
    <row r="36" spans="1:12" x14ac:dyDescent="0.3">
      <c r="A36" s="3">
        <v>27</v>
      </c>
      <c r="B36" s="3" t="s">
        <v>37</v>
      </c>
      <c r="C36" s="2">
        <v>2969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3">
        <f t="shared" si="0"/>
        <v>2969</v>
      </c>
      <c r="L36" s="3">
        <f t="shared" si="1"/>
        <v>148510</v>
      </c>
    </row>
    <row r="37" spans="1:12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3">
        <f t="shared" si="0"/>
        <v>0</v>
      </c>
      <c r="L37" s="3">
        <f t="shared" si="1"/>
        <v>148510</v>
      </c>
    </row>
    <row r="38" spans="1:12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3">
        <f t="shared" si="0"/>
        <v>0</v>
      </c>
      <c r="L38" s="3">
        <f t="shared" si="1"/>
        <v>148510</v>
      </c>
    </row>
    <row r="39" spans="1:12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3">
        <f t="shared" si="0"/>
        <v>0</v>
      </c>
      <c r="L39" s="3">
        <f t="shared" si="1"/>
        <v>148510</v>
      </c>
    </row>
    <row r="40" spans="1:12" x14ac:dyDescent="0.3">
      <c r="A40" s="3">
        <v>31</v>
      </c>
      <c r="B40" s="3" t="s">
        <v>41</v>
      </c>
      <c r="C40" s="2">
        <v>14974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3">
        <f t="shared" si="0"/>
        <v>14974</v>
      </c>
      <c r="L40" s="3">
        <f t="shared" si="1"/>
        <v>163484</v>
      </c>
    </row>
    <row r="41" spans="1:12" x14ac:dyDescent="0.3">
      <c r="A41" s="3">
        <v>32</v>
      </c>
      <c r="B41" s="3" t="s">
        <v>42</v>
      </c>
      <c r="C41" s="2">
        <v>13938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3">
        <f t="shared" si="0"/>
        <v>13938</v>
      </c>
      <c r="L41" s="3">
        <f t="shared" si="1"/>
        <v>177422</v>
      </c>
    </row>
    <row r="42" spans="1:12" x14ac:dyDescent="0.3">
      <c r="A42" s="3">
        <v>33</v>
      </c>
      <c r="B42" s="3" t="s">
        <v>43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3">
        <f t="shared" ref="K42:K73" si="2">SUM(C42:J42)</f>
        <v>0</v>
      </c>
      <c r="L42" s="3">
        <f t="shared" si="1"/>
        <v>177422</v>
      </c>
    </row>
    <row r="43" spans="1:12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3">
        <f t="shared" si="2"/>
        <v>0</v>
      </c>
      <c r="L43" s="3">
        <f t="shared" ref="L43:L61" si="3">K43+L42</f>
        <v>177422</v>
      </c>
    </row>
    <row r="44" spans="1:12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3">
        <f t="shared" si="2"/>
        <v>0</v>
      </c>
      <c r="L44" s="3">
        <f t="shared" si="3"/>
        <v>177422</v>
      </c>
    </row>
    <row r="45" spans="1:12" x14ac:dyDescent="0.3">
      <c r="A45" s="3">
        <v>36</v>
      </c>
      <c r="B45" s="3" t="s">
        <v>46</v>
      </c>
      <c r="C45" s="2">
        <v>5785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3">
        <f t="shared" si="2"/>
        <v>5785</v>
      </c>
      <c r="L45" s="3">
        <f t="shared" si="3"/>
        <v>183207</v>
      </c>
    </row>
    <row r="46" spans="1:12" x14ac:dyDescent="0.3">
      <c r="A46" s="3">
        <v>37</v>
      </c>
      <c r="B46" s="3" t="s">
        <v>47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3">
        <f t="shared" si="2"/>
        <v>0</v>
      </c>
      <c r="L46" s="3">
        <f t="shared" si="3"/>
        <v>183207</v>
      </c>
    </row>
    <row r="47" spans="1:12" x14ac:dyDescent="0.3">
      <c r="A47" s="3">
        <v>38</v>
      </c>
      <c r="B47" s="3" t="s">
        <v>48</v>
      </c>
      <c r="C47" s="2">
        <v>2987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3">
        <f t="shared" si="2"/>
        <v>2987</v>
      </c>
      <c r="L47" s="3">
        <f t="shared" si="3"/>
        <v>186194</v>
      </c>
    </row>
    <row r="48" spans="1:12" x14ac:dyDescent="0.3">
      <c r="A48" s="3">
        <v>39</v>
      </c>
      <c r="B48" s="3" t="s">
        <v>49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3">
        <f t="shared" si="2"/>
        <v>0</v>
      </c>
      <c r="L48" s="3">
        <f t="shared" si="3"/>
        <v>186194</v>
      </c>
    </row>
    <row r="49" spans="1:12" x14ac:dyDescent="0.3">
      <c r="A49" s="3">
        <v>40</v>
      </c>
      <c r="B49" s="3" t="s">
        <v>50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3">
        <f t="shared" si="2"/>
        <v>0</v>
      </c>
      <c r="L49" s="3">
        <f t="shared" si="3"/>
        <v>186194</v>
      </c>
    </row>
    <row r="50" spans="1:12" x14ac:dyDescent="0.3">
      <c r="A50" s="3">
        <v>41</v>
      </c>
      <c r="B50" s="3" t="s">
        <v>51</v>
      </c>
      <c r="C50" s="2">
        <v>6947</v>
      </c>
      <c r="D50" s="2">
        <v>3523</v>
      </c>
      <c r="E50" s="2">
        <v>0</v>
      </c>
      <c r="F50" s="2">
        <v>0</v>
      </c>
      <c r="G50" s="2">
        <v>0</v>
      </c>
      <c r="H50" s="2">
        <v>0</v>
      </c>
      <c r="I50" s="2">
        <v>21818</v>
      </c>
      <c r="J50" s="2">
        <v>0</v>
      </c>
      <c r="K50" s="3">
        <f t="shared" si="2"/>
        <v>32288</v>
      </c>
      <c r="L50" s="3">
        <f t="shared" si="3"/>
        <v>218482</v>
      </c>
    </row>
    <row r="51" spans="1:12" x14ac:dyDescent="0.3">
      <c r="A51" s="3">
        <v>42</v>
      </c>
      <c r="B51" s="3" t="s">
        <v>52</v>
      </c>
      <c r="C51" s="2">
        <v>5527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3">
        <f t="shared" si="2"/>
        <v>5527</v>
      </c>
      <c r="L51" s="3">
        <f t="shared" si="3"/>
        <v>224009</v>
      </c>
    </row>
    <row r="52" spans="1:12" x14ac:dyDescent="0.3">
      <c r="A52" s="3">
        <v>43</v>
      </c>
      <c r="B52" s="3" t="s">
        <v>53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3">
        <f t="shared" si="2"/>
        <v>0</v>
      </c>
      <c r="L52" s="3">
        <f t="shared" si="3"/>
        <v>224009</v>
      </c>
    </row>
    <row r="53" spans="1:12" x14ac:dyDescent="0.3">
      <c r="A53" s="3">
        <v>44</v>
      </c>
      <c r="B53" s="3" t="s">
        <v>54</v>
      </c>
      <c r="C53" s="2">
        <v>7708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3">
        <f t="shared" si="2"/>
        <v>7708</v>
      </c>
      <c r="L53" s="3">
        <f t="shared" si="3"/>
        <v>231717</v>
      </c>
    </row>
    <row r="54" spans="1:12" x14ac:dyDescent="0.3">
      <c r="A54" s="3">
        <v>45</v>
      </c>
      <c r="B54" s="3" t="s">
        <v>55</v>
      </c>
      <c r="C54" s="2">
        <v>2000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3000</v>
      </c>
      <c r="J54" s="2">
        <v>0</v>
      </c>
      <c r="K54" s="3">
        <f t="shared" si="2"/>
        <v>5000</v>
      </c>
      <c r="L54" s="3">
        <f t="shared" si="3"/>
        <v>236717</v>
      </c>
    </row>
    <row r="55" spans="1:12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20162</v>
      </c>
      <c r="J55" s="2">
        <v>3970</v>
      </c>
      <c r="K55" s="3">
        <f t="shared" si="2"/>
        <v>24132</v>
      </c>
      <c r="L55" s="3">
        <f t="shared" si="3"/>
        <v>260849</v>
      </c>
    </row>
    <row r="56" spans="1:12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3">
        <f t="shared" si="2"/>
        <v>0</v>
      </c>
      <c r="L56" s="3">
        <f t="shared" si="3"/>
        <v>260849</v>
      </c>
    </row>
    <row r="57" spans="1:12" x14ac:dyDescent="0.3">
      <c r="A57" s="3">
        <v>48</v>
      </c>
      <c r="B57" s="3" t="s">
        <v>58</v>
      </c>
      <c r="C57" s="2">
        <v>10000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3">
        <f t="shared" si="2"/>
        <v>10000</v>
      </c>
      <c r="L57" s="3">
        <f t="shared" si="3"/>
        <v>270849</v>
      </c>
    </row>
    <row r="58" spans="1:12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3955</v>
      </c>
      <c r="I58" s="2">
        <v>0</v>
      </c>
      <c r="J58" s="2">
        <v>0</v>
      </c>
      <c r="K58" s="3">
        <f t="shared" si="2"/>
        <v>3955</v>
      </c>
      <c r="L58" s="3">
        <f t="shared" si="3"/>
        <v>274804</v>
      </c>
    </row>
    <row r="59" spans="1:12" x14ac:dyDescent="0.3">
      <c r="A59" s="3">
        <v>50</v>
      </c>
      <c r="B59" s="3" t="s">
        <v>60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6612</v>
      </c>
      <c r="J59" s="2">
        <v>0</v>
      </c>
      <c r="K59" s="3">
        <f t="shared" si="2"/>
        <v>6612</v>
      </c>
      <c r="L59" s="3">
        <f t="shared" si="3"/>
        <v>281416</v>
      </c>
    </row>
    <row r="60" spans="1:12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4210</v>
      </c>
      <c r="K60" s="3">
        <f t="shared" si="2"/>
        <v>4210</v>
      </c>
      <c r="L60" s="3">
        <f t="shared" si="3"/>
        <v>285626</v>
      </c>
    </row>
    <row r="61" spans="1:12" x14ac:dyDescent="0.3">
      <c r="A61" s="3">
        <v>52</v>
      </c>
      <c r="B61" s="3" t="s">
        <v>62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3">
        <f t="shared" si="2"/>
        <v>0</v>
      </c>
      <c r="L61" s="3">
        <f t="shared" si="3"/>
        <v>285626</v>
      </c>
    </row>
    <row r="62" spans="1:12" x14ac:dyDescent="0.3">
      <c r="A62" s="3" t="s">
        <v>2</v>
      </c>
      <c r="B62" s="3" t="s">
        <v>63</v>
      </c>
      <c r="C62" s="3">
        <f t="shared" ref="C62:J62" si="4">SUM(C10:C61)</f>
        <v>82839</v>
      </c>
      <c r="D62" s="3">
        <f t="shared" si="4"/>
        <v>3523</v>
      </c>
      <c r="E62" s="3">
        <f t="shared" si="4"/>
        <v>3338</v>
      </c>
      <c r="F62" s="3">
        <f t="shared" si="4"/>
        <v>57535</v>
      </c>
      <c r="G62" s="3">
        <f t="shared" si="4"/>
        <v>6988</v>
      </c>
      <c r="H62" s="3">
        <f t="shared" si="4"/>
        <v>16894</v>
      </c>
      <c r="I62" s="3">
        <f t="shared" si="4"/>
        <v>106329</v>
      </c>
      <c r="J62" s="3">
        <f t="shared" si="4"/>
        <v>8180</v>
      </c>
      <c r="K62" s="3">
        <f>SUM(K10:K61)</f>
        <v>285626</v>
      </c>
      <c r="L62" s="3"/>
    </row>
  </sheetData>
  <mergeCells count="3">
    <mergeCell ref="A6:L6"/>
    <mergeCell ref="A7:L7"/>
    <mergeCell ref="A8:L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K62"/>
  <sheetViews>
    <sheetView workbookViewId="0">
      <pane xSplit="2" ySplit="9" topLeftCell="C55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2.77734375" customWidth="1"/>
    <col min="4" max="4" width="25.21875" customWidth="1"/>
    <col min="5" max="5" width="10.88671875" customWidth="1"/>
    <col min="6" max="6" width="15.6640625" customWidth="1"/>
    <col min="7" max="7" width="10.33203125" customWidth="1"/>
    <col min="8" max="8" width="10" customWidth="1"/>
    <col min="9" max="9" width="12.5546875" customWidth="1"/>
    <col min="10" max="10" width="16.21875" bestFit="1" customWidth="1"/>
    <col min="11" max="11" width="21.77734375" bestFit="1" customWidth="1"/>
  </cols>
  <sheetData>
    <row r="6" spans="1:11" ht="15.6" x14ac:dyDescent="0.3">
      <c r="A6" s="6" t="s">
        <v>78</v>
      </c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 ht="15.6" x14ac:dyDescent="0.3">
      <c r="A7" s="6" t="s">
        <v>79</v>
      </c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x14ac:dyDescent="0.3">
      <c r="A8" s="9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x14ac:dyDescent="0.3">
      <c r="A9" s="1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4" t="s">
        <v>88</v>
      </c>
      <c r="K9" s="4" t="s">
        <v>89</v>
      </c>
    </row>
    <row r="10" spans="1:11" x14ac:dyDescent="0.3">
      <c r="A10" s="3">
        <v>1</v>
      </c>
      <c r="B10" s="3" t="s">
        <v>11</v>
      </c>
      <c r="C10" s="2">
        <v>0</v>
      </c>
      <c r="D10" s="2">
        <v>617</v>
      </c>
      <c r="E10" s="2">
        <v>0</v>
      </c>
      <c r="F10" s="2">
        <v>0</v>
      </c>
      <c r="G10" s="2">
        <v>0</v>
      </c>
      <c r="H10" s="2">
        <v>0</v>
      </c>
      <c r="I10" s="2">
        <v>2486</v>
      </c>
      <c r="J10" s="3">
        <f t="shared" ref="J10:J41" si="0">SUM(C10:I10)</f>
        <v>3103</v>
      </c>
      <c r="K10" s="3">
        <f>J10</f>
        <v>3103</v>
      </c>
    </row>
    <row r="11" spans="1:11" x14ac:dyDescent="0.3">
      <c r="A11" s="3">
        <v>2</v>
      </c>
      <c r="B11" s="3" t="s">
        <v>12</v>
      </c>
      <c r="C11" s="2">
        <v>0</v>
      </c>
      <c r="D11" s="2">
        <v>662</v>
      </c>
      <c r="E11" s="2">
        <v>0</v>
      </c>
      <c r="F11" s="2">
        <v>0</v>
      </c>
      <c r="G11" s="2">
        <v>0</v>
      </c>
      <c r="H11" s="2">
        <v>0</v>
      </c>
      <c r="I11" s="2">
        <v>2464</v>
      </c>
      <c r="J11" s="3">
        <f t="shared" si="0"/>
        <v>3126</v>
      </c>
      <c r="K11" s="3">
        <f t="shared" ref="K11:K42" si="1">J11+K10</f>
        <v>6229</v>
      </c>
    </row>
    <row r="12" spans="1:11" x14ac:dyDescent="0.3">
      <c r="A12" s="3">
        <v>3</v>
      </c>
      <c r="B12" s="3" t="s">
        <v>13</v>
      </c>
      <c r="C12" s="2">
        <v>0</v>
      </c>
      <c r="D12" s="2">
        <v>1636</v>
      </c>
      <c r="E12" s="2">
        <v>0</v>
      </c>
      <c r="F12" s="2">
        <v>0</v>
      </c>
      <c r="G12" s="2">
        <v>0</v>
      </c>
      <c r="H12" s="2">
        <v>0</v>
      </c>
      <c r="I12" s="2">
        <v>6515</v>
      </c>
      <c r="J12" s="3">
        <f t="shared" si="0"/>
        <v>8151</v>
      </c>
      <c r="K12" s="3">
        <f t="shared" si="1"/>
        <v>14380</v>
      </c>
    </row>
    <row r="13" spans="1:11" x14ac:dyDescent="0.3">
      <c r="A13" s="3">
        <v>4</v>
      </c>
      <c r="B13" s="3" t="s">
        <v>14</v>
      </c>
      <c r="C13" s="2">
        <v>0</v>
      </c>
      <c r="D13" s="2">
        <v>2156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3">
        <f t="shared" si="0"/>
        <v>2156</v>
      </c>
      <c r="K13" s="3">
        <f t="shared" si="1"/>
        <v>16536</v>
      </c>
    </row>
    <row r="14" spans="1:11" x14ac:dyDescent="0.3">
      <c r="A14" s="3">
        <v>5</v>
      </c>
      <c r="B14" s="3" t="s">
        <v>15</v>
      </c>
      <c r="C14" s="2">
        <v>0</v>
      </c>
      <c r="D14" s="2">
        <v>1526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3">
        <f t="shared" si="0"/>
        <v>1526</v>
      </c>
      <c r="K14" s="3">
        <f t="shared" si="1"/>
        <v>18062</v>
      </c>
    </row>
    <row r="15" spans="1:11" x14ac:dyDescent="0.3">
      <c r="A15" s="3">
        <v>6</v>
      </c>
      <c r="B15" s="3" t="s">
        <v>16</v>
      </c>
      <c r="C15" s="2">
        <v>1141</v>
      </c>
      <c r="D15" s="2">
        <v>1551</v>
      </c>
      <c r="E15" s="2">
        <v>501</v>
      </c>
      <c r="F15" s="2">
        <v>0</v>
      </c>
      <c r="G15" s="2">
        <v>0</v>
      </c>
      <c r="H15" s="2">
        <v>0</v>
      </c>
      <c r="I15" s="2">
        <v>0</v>
      </c>
      <c r="J15" s="3">
        <f t="shared" si="0"/>
        <v>3193</v>
      </c>
      <c r="K15" s="3">
        <f t="shared" si="1"/>
        <v>21255</v>
      </c>
    </row>
    <row r="16" spans="1:11" x14ac:dyDescent="0.3">
      <c r="A16" s="3">
        <v>7</v>
      </c>
      <c r="B16" s="3" t="s">
        <v>17</v>
      </c>
      <c r="C16" s="2">
        <v>2475</v>
      </c>
      <c r="D16" s="2">
        <v>1189</v>
      </c>
      <c r="E16" s="2">
        <v>2912</v>
      </c>
      <c r="F16" s="2">
        <v>0</v>
      </c>
      <c r="G16" s="2">
        <v>0</v>
      </c>
      <c r="H16" s="2">
        <v>0</v>
      </c>
      <c r="I16" s="2">
        <v>0</v>
      </c>
      <c r="J16" s="3">
        <f t="shared" si="0"/>
        <v>6576</v>
      </c>
      <c r="K16" s="3">
        <f t="shared" si="1"/>
        <v>27831</v>
      </c>
    </row>
    <row r="17" spans="1:11" x14ac:dyDescent="0.3">
      <c r="A17" s="3">
        <v>8</v>
      </c>
      <c r="B17" s="3" t="s">
        <v>18</v>
      </c>
      <c r="C17" s="2">
        <v>3014</v>
      </c>
      <c r="D17" s="2">
        <v>1746</v>
      </c>
      <c r="E17" s="2">
        <v>1996</v>
      </c>
      <c r="F17" s="2">
        <v>0</v>
      </c>
      <c r="G17" s="2">
        <v>0</v>
      </c>
      <c r="H17" s="2">
        <v>0</v>
      </c>
      <c r="I17" s="2">
        <v>0</v>
      </c>
      <c r="J17" s="3">
        <f t="shared" si="0"/>
        <v>6756</v>
      </c>
      <c r="K17" s="3">
        <f t="shared" si="1"/>
        <v>34587</v>
      </c>
    </row>
    <row r="18" spans="1:11" x14ac:dyDescent="0.3">
      <c r="A18" s="3">
        <v>9</v>
      </c>
      <c r="B18" s="3" t="s">
        <v>19</v>
      </c>
      <c r="C18" s="2">
        <v>4690</v>
      </c>
      <c r="D18" s="2">
        <v>1258</v>
      </c>
      <c r="E18" s="2">
        <v>821</v>
      </c>
      <c r="F18" s="2">
        <v>0</v>
      </c>
      <c r="G18" s="2">
        <v>0</v>
      </c>
      <c r="H18" s="2">
        <v>0</v>
      </c>
      <c r="I18" s="2">
        <v>0</v>
      </c>
      <c r="J18" s="3">
        <f t="shared" si="0"/>
        <v>6769</v>
      </c>
      <c r="K18" s="3">
        <f t="shared" si="1"/>
        <v>41356</v>
      </c>
    </row>
    <row r="19" spans="1:11" x14ac:dyDescent="0.3">
      <c r="A19" s="3">
        <v>10</v>
      </c>
      <c r="B19" s="3" t="s">
        <v>20</v>
      </c>
      <c r="C19" s="2">
        <v>4434</v>
      </c>
      <c r="D19" s="2">
        <v>3138</v>
      </c>
      <c r="E19" s="2">
        <v>391</v>
      </c>
      <c r="F19" s="2">
        <v>0</v>
      </c>
      <c r="G19" s="2">
        <v>0</v>
      </c>
      <c r="H19" s="2">
        <v>0</v>
      </c>
      <c r="I19" s="2">
        <v>0</v>
      </c>
      <c r="J19" s="3">
        <f t="shared" si="0"/>
        <v>7963</v>
      </c>
      <c r="K19" s="3">
        <f t="shared" si="1"/>
        <v>49319</v>
      </c>
    </row>
    <row r="20" spans="1:11" x14ac:dyDescent="0.3">
      <c r="A20" s="3">
        <v>11</v>
      </c>
      <c r="B20" s="3" t="s">
        <v>21</v>
      </c>
      <c r="C20" s="2">
        <v>3447</v>
      </c>
      <c r="D20" s="2">
        <v>1738</v>
      </c>
      <c r="E20" s="2">
        <v>314</v>
      </c>
      <c r="F20" s="2">
        <v>0</v>
      </c>
      <c r="G20" s="2">
        <v>0</v>
      </c>
      <c r="H20" s="2">
        <v>0</v>
      </c>
      <c r="I20" s="2">
        <v>0</v>
      </c>
      <c r="J20" s="3">
        <f t="shared" si="0"/>
        <v>5499</v>
      </c>
      <c r="K20" s="3">
        <f t="shared" si="1"/>
        <v>54818</v>
      </c>
    </row>
    <row r="21" spans="1:11" x14ac:dyDescent="0.3">
      <c r="A21" s="3">
        <v>12</v>
      </c>
      <c r="B21" s="3" t="s">
        <v>22</v>
      </c>
      <c r="C21" s="2">
        <v>2445</v>
      </c>
      <c r="D21" s="2">
        <v>1385</v>
      </c>
      <c r="E21" s="2">
        <v>521</v>
      </c>
      <c r="F21" s="2">
        <v>0</v>
      </c>
      <c r="G21" s="2">
        <v>0</v>
      </c>
      <c r="H21" s="2">
        <v>0</v>
      </c>
      <c r="I21" s="2">
        <v>0</v>
      </c>
      <c r="J21" s="3">
        <f t="shared" si="0"/>
        <v>4351</v>
      </c>
      <c r="K21" s="3">
        <f t="shared" si="1"/>
        <v>59169</v>
      </c>
    </row>
    <row r="22" spans="1:11" x14ac:dyDescent="0.3">
      <c r="A22" s="3">
        <v>13</v>
      </c>
      <c r="B22" s="3" t="s">
        <v>23</v>
      </c>
      <c r="C22" s="2">
        <v>147</v>
      </c>
      <c r="D22" s="2">
        <v>0</v>
      </c>
      <c r="E22" s="2">
        <v>35</v>
      </c>
      <c r="F22" s="2">
        <v>0</v>
      </c>
      <c r="G22" s="2">
        <v>0</v>
      </c>
      <c r="H22" s="2">
        <v>0</v>
      </c>
      <c r="I22" s="2">
        <v>0</v>
      </c>
      <c r="J22" s="3">
        <f t="shared" si="0"/>
        <v>182</v>
      </c>
      <c r="K22" s="3">
        <f t="shared" si="1"/>
        <v>59351</v>
      </c>
    </row>
    <row r="23" spans="1:11" x14ac:dyDescent="0.3">
      <c r="A23" s="3">
        <v>14</v>
      </c>
      <c r="B23" s="3" t="s">
        <v>24</v>
      </c>
      <c r="C23" s="2">
        <v>174</v>
      </c>
      <c r="D23" s="2">
        <v>0</v>
      </c>
      <c r="E23" s="2">
        <v>38</v>
      </c>
      <c r="F23" s="2">
        <v>0</v>
      </c>
      <c r="G23" s="2">
        <v>0</v>
      </c>
      <c r="H23" s="2">
        <v>0</v>
      </c>
      <c r="I23" s="2">
        <v>0</v>
      </c>
      <c r="J23" s="3">
        <f t="shared" si="0"/>
        <v>212</v>
      </c>
      <c r="K23" s="3">
        <f t="shared" si="1"/>
        <v>59563</v>
      </c>
    </row>
    <row r="24" spans="1:11" x14ac:dyDescent="0.3">
      <c r="A24" s="3">
        <v>15</v>
      </c>
      <c r="B24" s="3" t="s">
        <v>25</v>
      </c>
      <c r="C24" s="2">
        <v>0</v>
      </c>
      <c r="D24" s="2">
        <v>720</v>
      </c>
      <c r="E24" s="2">
        <v>1657</v>
      </c>
      <c r="F24" s="2">
        <v>0</v>
      </c>
      <c r="G24" s="2">
        <v>0</v>
      </c>
      <c r="H24" s="2">
        <v>0</v>
      </c>
      <c r="I24" s="2">
        <v>0</v>
      </c>
      <c r="J24" s="3">
        <f t="shared" si="0"/>
        <v>2377</v>
      </c>
      <c r="K24" s="3">
        <f t="shared" si="1"/>
        <v>61940</v>
      </c>
    </row>
    <row r="25" spans="1:11" x14ac:dyDescent="0.3">
      <c r="A25" s="3">
        <v>16</v>
      </c>
      <c r="B25" s="3" t="s">
        <v>26</v>
      </c>
      <c r="C25" s="2">
        <v>0</v>
      </c>
      <c r="D25" s="2">
        <v>1260</v>
      </c>
      <c r="E25" s="2">
        <v>1560</v>
      </c>
      <c r="F25" s="2">
        <v>0</v>
      </c>
      <c r="G25" s="2">
        <v>0</v>
      </c>
      <c r="H25" s="2">
        <v>0</v>
      </c>
      <c r="I25" s="2">
        <v>0</v>
      </c>
      <c r="J25" s="3">
        <f t="shared" si="0"/>
        <v>2820</v>
      </c>
      <c r="K25" s="3">
        <f t="shared" si="1"/>
        <v>64760</v>
      </c>
    </row>
    <row r="26" spans="1:11" x14ac:dyDescent="0.3">
      <c r="A26" s="3">
        <v>17</v>
      </c>
      <c r="B26" s="3" t="s">
        <v>27</v>
      </c>
      <c r="C26" s="2">
        <v>216</v>
      </c>
      <c r="D26" s="2">
        <v>0</v>
      </c>
      <c r="E26" s="2">
        <v>3135</v>
      </c>
      <c r="F26" s="2">
        <v>0</v>
      </c>
      <c r="G26" s="2">
        <v>0</v>
      </c>
      <c r="H26" s="2">
        <v>0</v>
      </c>
      <c r="I26" s="2">
        <v>0</v>
      </c>
      <c r="J26" s="3">
        <f t="shared" si="0"/>
        <v>3351</v>
      </c>
      <c r="K26" s="3">
        <f t="shared" si="1"/>
        <v>68111</v>
      </c>
    </row>
    <row r="27" spans="1:11" x14ac:dyDescent="0.3">
      <c r="A27" s="3">
        <v>18</v>
      </c>
      <c r="B27" s="3" t="s">
        <v>28</v>
      </c>
      <c r="C27" s="2">
        <v>970</v>
      </c>
      <c r="D27" s="2">
        <v>2268</v>
      </c>
      <c r="E27" s="2">
        <v>607</v>
      </c>
      <c r="F27" s="2">
        <v>0</v>
      </c>
      <c r="G27" s="2">
        <v>0</v>
      </c>
      <c r="H27" s="2">
        <v>0</v>
      </c>
      <c r="I27" s="2">
        <v>0</v>
      </c>
      <c r="J27" s="3">
        <f t="shared" si="0"/>
        <v>3845</v>
      </c>
      <c r="K27" s="3">
        <f t="shared" si="1"/>
        <v>71956</v>
      </c>
    </row>
    <row r="28" spans="1:11" x14ac:dyDescent="0.3">
      <c r="A28" s="3">
        <v>19</v>
      </c>
      <c r="B28" s="3" t="s">
        <v>29</v>
      </c>
      <c r="C28" s="2">
        <v>1302</v>
      </c>
      <c r="D28" s="2">
        <v>356</v>
      </c>
      <c r="E28" s="2">
        <v>0</v>
      </c>
      <c r="F28" s="2">
        <v>0</v>
      </c>
      <c r="G28" s="2">
        <v>0</v>
      </c>
      <c r="H28" s="2">
        <v>0</v>
      </c>
      <c r="I28" s="2">
        <v>1594</v>
      </c>
      <c r="J28" s="3">
        <f t="shared" si="0"/>
        <v>3252</v>
      </c>
      <c r="K28" s="3">
        <f t="shared" si="1"/>
        <v>75208</v>
      </c>
    </row>
    <row r="29" spans="1:11" x14ac:dyDescent="0.3">
      <c r="A29" s="3">
        <v>20</v>
      </c>
      <c r="B29" s="3" t="s">
        <v>30</v>
      </c>
      <c r="C29" s="2">
        <v>251</v>
      </c>
      <c r="D29" s="2">
        <v>900</v>
      </c>
      <c r="E29" s="2">
        <v>0</v>
      </c>
      <c r="F29" s="2">
        <v>0</v>
      </c>
      <c r="G29" s="2">
        <v>0</v>
      </c>
      <c r="H29" s="2">
        <v>0</v>
      </c>
      <c r="I29" s="2">
        <v>3371</v>
      </c>
      <c r="J29" s="3">
        <f t="shared" si="0"/>
        <v>4522</v>
      </c>
      <c r="K29" s="3">
        <f t="shared" si="1"/>
        <v>79730</v>
      </c>
    </row>
    <row r="30" spans="1:11" x14ac:dyDescent="0.3">
      <c r="A30" s="3">
        <v>21</v>
      </c>
      <c r="B30" s="3" t="s">
        <v>31</v>
      </c>
      <c r="C30" s="2">
        <v>901</v>
      </c>
      <c r="D30" s="2">
        <v>2697</v>
      </c>
      <c r="E30" s="2">
        <v>0</v>
      </c>
      <c r="F30" s="2">
        <v>0</v>
      </c>
      <c r="G30" s="2">
        <v>0</v>
      </c>
      <c r="H30" s="2">
        <v>0</v>
      </c>
      <c r="I30" s="2">
        <v>175</v>
      </c>
      <c r="J30" s="3">
        <f t="shared" si="0"/>
        <v>3773</v>
      </c>
      <c r="K30" s="3">
        <f t="shared" si="1"/>
        <v>83503</v>
      </c>
    </row>
    <row r="31" spans="1:11" x14ac:dyDescent="0.3">
      <c r="A31" s="3">
        <v>22</v>
      </c>
      <c r="B31" s="3" t="s">
        <v>32</v>
      </c>
      <c r="C31" s="2">
        <v>1198</v>
      </c>
      <c r="D31" s="2">
        <v>2193</v>
      </c>
      <c r="E31" s="2">
        <v>869</v>
      </c>
      <c r="F31" s="2">
        <v>0</v>
      </c>
      <c r="G31" s="2">
        <v>0</v>
      </c>
      <c r="H31" s="2">
        <v>0</v>
      </c>
      <c r="I31" s="2">
        <v>2481</v>
      </c>
      <c r="J31" s="3">
        <f t="shared" si="0"/>
        <v>6741</v>
      </c>
      <c r="K31" s="3">
        <f t="shared" si="1"/>
        <v>90244</v>
      </c>
    </row>
    <row r="32" spans="1:11" x14ac:dyDescent="0.3">
      <c r="A32" s="3">
        <v>23</v>
      </c>
      <c r="B32" s="3" t="s">
        <v>33</v>
      </c>
      <c r="C32" s="2">
        <v>1293</v>
      </c>
      <c r="D32" s="2">
        <v>2604</v>
      </c>
      <c r="E32" s="2">
        <v>690</v>
      </c>
      <c r="F32" s="2">
        <v>0</v>
      </c>
      <c r="G32" s="2">
        <v>0</v>
      </c>
      <c r="H32" s="2">
        <v>0</v>
      </c>
      <c r="I32" s="2">
        <v>3380</v>
      </c>
      <c r="J32" s="3">
        <f t="shared" si="0"/>
        <v>7967</v>
      </c>
      <c r="K32" s="3">
        <f t="shared" si="1"/>
        <v>98211</v>
      </c>
    </row>
    <row r="33" spans="1:11" x14ac:dyDescent="0.3">
      <c r="A33" s="3">
        <v>24</v>
      </c>
      <c r="B33" s="3" t="s">
        <v>34</v>
      </c>
      <c r="C33" s="2">
        <v>2357</v>
      </c>
      <c r="D33" s="2">
        <v>1464</v>
      </c>
      <c r="E33" s="2">
        <v>491</v>
      </c>
      <c r="F33" s="2">
        <v>0</v>
      </c>
      <c r="G33" s="2">
        <v>0</v>
      </c>
      <c r="H33" s="2">
        <v>0</v>
      </c>
      <c r="I33" s="2">
        <v>2060</v>
      </c>
      <c r="J33" s="3">
        <f t="shared" si="0"/>
        <v>6372</v>
      </c>
      <c r="K33" s="3">
        <f t="shared" si="1"/>
        <v>104583</v>
      </c>
    </row>
    <row r="34" spans="1:11" x14ac:dyDescent="0.3">
      <c r="A34" s="3">
        <v>25</v>
      </c>
      <c r="B34" s="3" t="s">
        <v>35</v>
      </c>
      <c r="C34" s="2">
        <v>3249</v>
      </c>
      <c r="D34" s="2">
        <v>1003</v>
      </c>
      <c r="E34" s="2">
        <v>773</v>
      </c>
      <c r="F34" s="2">
        <v>0</v>
      </c>
      <c r="G34" s="2">
        <v>0</v>
      </c>
      <c r="H34" s="2">
        <v>0</v>
      </c>
      <c r="I34" s="2">
        <v>2477</v>
      </c>
      <c r="J34" s="3">
        <f t="shared" si="0"/>
        <v>7502</v>
      </c>
      <c r="K34" s="3">
        <f t="shared" si="1"/>
        <v>112085</v>
      </c>
    </row>
    <row r="35" spans="1:11" x14ac:dyDescent="0.3">
      <c r="A35" s="3">
        <v>26</v>
      </c>
      <c r="B35" s="3" t="s">
        <v>36</v>
      </c>
      <c r="C35" s="2">
        <v>4486</v>
      </c>
      <c r="D35" s="2">
        <v>3076</v>
      </c>
      <c r="E35" s="2">
        <v>533</v>
      </c>
      <c r="F35" s="2">
        <v>0</v>
      </c>
      <c r="G35" s="2">
        <v>0</v>
      </c>
      <c r="H35" s="2">
        <v>0</v>
      </c>
      <c r="I35" s="2">
        <v>0</v>
      </c>
      <c r="J35" s="3">
        <f t="shared" si="0"/>
        <v>8095</v>
      </c>
      <c r="K35" s="3">
        <f t="shared" si="1"/>
        <v>120180</v>
      </c>
    </row>
    <row r="36" spans="1:11" x14ac:dyDescent="0.3">
      <c r="A36" s="3">
        <v>27</v>
      </c>
      <c r="B36" s="3" t="s">
        <v>37</v>
      </c>
      <c r="C36" s="2">
        <v>4935</v>
      </c>
      <c r="D36" s="2">
        <v>1613</v>
      </c>
      <c r="E36" s="2">
        <v>852</v>
      </c>
      <c r="F36" s="2">
        <v>0</v>
      </c>
      <c r="G36" s="2">
        <v>0</v>
      </c>
      <c r="H36" s="2">
        <v>0</v>
      </c>
      <c r="I36" s="2">
        <v>2221</v>
      </c>
      <c r="J36" s="3">
        <f t="shared" si="0"/>
        <v>9621</v>
      </c>
      <c r="K36" s="3">
        <f t="shared" si="1"/>
        <v>129801</v>
      </c>
    </row>
    <row r="37" spans="1:11" x14ac:dyDescent="0.3">
      <c r="A37" s="3">
        <v>28</v>
      </c>
      <c r="B37" s="3" t="s">
        <v>38</v>
      </c>
      <c r="C37" s="2">
        <v>4213</v>
      </c>
      <c r="D37" s="2">
        <v>1537</v>
      </c>
      <c r="E37" s="2">
        <v>843</v>
      </c>
      <c r="F37" s="2">
        <v>0</v>
      </c>
      <c r="G37" s="2">
        <v>0</v>
      </c>
      <c r="H37" s="2">
        <v>243</v>
      </c>
      <c r="I37" s="2">
        <v>556</v>
      </c>
      <c r="J37" s="3">
        <f t="shared" si="0"/>
        <v>7392</v>
      </c>
      <c r="K37" s="3">
        <f t="shared" si="1"/>
        <v>137193</v>
      </c>
    </row>
    <row r="38" spans="1:11" x14ac:dyDescent="0.3">
      <c r="A38" s="3">
        <v>29</v>
      </c>
      <c r="B38" s="3" t="s">
        <v>39</v>
      </c>
      <c r="C38" s="2">
        <v>1274</v>
      </c>
      <c r="D38" s="2">
        <v>540</v>
      </c>
      <c r="E38" s="2">
        <v>1557</v>
      </c>
      <c r="F38" s="2">
        <v>0</v>
      </c>
      <c r="G38" s="2">
        <v>0</v>
      </c>
      <c r="H38" s="2">
        <v>175</v>
      </c>
      <c r="I38" s="2">
        <v>1734</v>
      </c>
      <c r="J38" s="3">
        <f t="shared" si="0"/>
        <v>5280</v>
      </c>
      <c r="K38" s="3">
        <f t="shared" si="1"/>
        <v>142473</v>
      </c>
    </row>
    <row r="39" spans="1:11" x14ac:dyDescent="0.3">
      <c r="A39" s="3">
        <v>30</v>
      </c>
      <c r="B39" s="3" t="s">
        <v>40</v>
      </c>
      <c r="C39" s="2">
        <v>1674</v>
      </c>
      <c r="D39" s="2">
        <v>180</v>
      </c>
      <c r="E39" s="2">
        <v>1280</v>
      </c>
      <c r="F39" s="2">
        <v>0</v>
      </c>
      <c r="G39" s="2">
        <v>0</v>
      </c>
      <c r="H39" s="2">
        <v>0</v>
      </c>
      <c r="I39" s="2">
        <v>2691</v>
      </c>
      <c r="J39" s="3">
        <f t="shared" si="0"/>
        <v>5825</v>
      </c>
      <c r="K39" s="3">
        <f t="shared" si="1"/>
        <v>148298</v>
      </c>
    </row>
    <row r="40" spans="1:11" x14ac:dyDescent="0.3">
      <c r="A40" s="3">
        <v>31</v>
      </c>
      <c r="B40" s="3" t="s">
        <v>41</v>
      </c>
      <c r="C40" s="2">
        <v>1216</v>
      </c>
      <c r="D40" s="2">
        <v>1468</v>
      </c>
      <c r="E40" s="2">
        <v>812</v>
      </c>
      <c r="F40" s="2">
        <v>0</v>
      </c>
      <c r="G40" s="2">
        <v>0</v>
      </c>
      <c r="H40" s="2">
        <v>69</v>
      </c>
      <c r="I40" s="2">
        <v>2256</v>
      </c>
      <c r="J40" s="3">
        <f t="shared" si="0"/>
        <v>5821</v>
      </c>
      <c r="K40" s="3">
        <f t="shared" si="1"/>
        <v>154119</v>
      </c>
    </row>
    <row r="41" spans="1:11" x14ac:dyDescent="0.3">
      <c r="A41" s="3">
        <v>32</v>
      </c>
      <c r="B41" s="3" t="s">
        <v>42</v>
      </c>
      <c r="C41" s="2">
        <v>1441</v>
      </c>
      <c r="D41" s="2">
        <v>558</v>
      </c>
      <c r="E41" s="2">
        <v>70</v>
      </c>
      <c r="F41" s="2">
        <v>0</v>
      </c>
      <c r="G41" s="2">
        <v>0</v>
      </c>
      <c r="H41" s="2">
        <v>245</v>
      </c>
      <c r="I41" s="2">
        <v>4735</v>
      </c>
      <c r="J41" s="3">
        <f t="shared" si="0"/>
        <v>7049</v>
      </c>
      <c r="K41" s="3">
        <f t="shared" si="1"/>
        <v>161168</v>
      </c>
    </row>
    <row r="42" spans="1:11" x14ac:dyDescent="0.3">
      <c r="A42" s="3">
        <v>33</v>
      </c>
      <c r="B42" s="3" t="s">
        <v>43</v>
      </c>
      <c r="C42" s="2">
        <v>2207</v>
      </c>
      <c r="D42" s="2">
        <v>2311</v>
      </c>
      <c r="E42" s="2">
        <v>107</v>
      </c>
      <c r="F42" s="2">
        <v>0</v>
      </c>
      <c r="G42" s="2">
        <v>0</v>
      </c>
      <c r="H42" s="2">
        <v>137</v>
      </c>
      <c r="I42" s="2">
        <v>4465</v>
      </c>
      <c r="J42" s="3">
        <f t="shared" ref="J42:J73" si="2">SUM(C42:I42)</f>
        <v>9227</v>
      </c>
      <c r="K42" s="3">
        <f t="shared" si="1"/>
        <v>170395</v>
      </c>
    </row>
    <row r="43" spans="1:11" x14ac:dyDescent="0.3">
      <c r="A43" s="3">
        <v>34</v>
      </c>
      <c r="B43" s="3" t="s">
        <v>44</v>
      </c>
      <c r="C43" s="2">
        <v>2814</v>
      </c>
      <c r="D43" s="2">
        <v>2506</v>
      </c>
      <c r="E43" s="2">
        <v>0</v>
      </c>
      <c r="F43" s="2">
        <v>0</v>
      </c>
      <c r="G43" s="2">
        <v>0</v>
      </c>
      <c r="H43" s="2">
        <v>100</v>
      </c>
      <c r="I43" s="2">
        <v>1213</v>
      </c>
      <c r="J43" s="3">
        <f t="shared" si="2"/>
        <v>6633</v>
      </c>
      <c r="K43" s="3">
        <f t="shared" ref="K43:K61" si="3">J43+K42</f>
        <v>177028</v>
      </c>
    </row>
    <row r="44" spans="1:11" x14ac:dyDescent="0.3">
      <c r="A44" s="3">
        <v>35</v>
      </c>
      <c r="B44" s="3" t="s">
        <v>45</v>
      </c>
      <c r="C44" s="2">
        <v>1609</v>
      </c>
      <c r="D44" s="2">
        <v>1191</v>
      </c>
      <c r="E44" s="2">
        <v>0</v>
      </c>
      <c r="F44" s="2">
        <v>0</v>
      </c>
      <c r="G44" s="2">
        <v>0</v>
      </c>
      <c r="H44" s="2">
        <v>0</v>
      </c>
      <c r="I44" s="2">
        <v>965</v>
      </c>
      <c r="J44" s="3">
        <f t="shared" si="2"/>
        <v>3765</v>
      </c>
      <c r="K44" s="3">
        <f t="shared" si="3"/>
        <v>180793</v>
      </c>
    </row>
    <row r="45" spans="1:11" x14ac:dyDescent="0.3">
      <c r="A45" s="3">
        <v>36</v>
      </c>
      <c r="B45" s="3" t="s">
        <v>46</v>
      </c>
      <c r="C45" s="2">
        <v>717</v>
      </c>
      <c r="D45" s="2">
        <v>444</v>
      </c>
      <c r="E45" s="2">
        <v>2005</v>
      </c>
      <c r="F45" s="2">
        <v>0</v>
      </c>
      <c r="G45" s="2">
        <v>0</v>
      </c>
      <c r="H45" s="2">
        <v>104</v>
      </c>
      <c r="I45" s="2">
        <v>474</v>
      </c>
      <c r="J45" s="3">
        <f t="shared" si="2"/>
        <v>3744</v>
      </c>
      <c r="K45" s="3">
        <f t="shared" si="3"/>
        <v>184537</v>
      </c>
    </row>
    <row r="46" spans="1:11" x14ac:dyDescent="0.3">
      <c r="A46" s="3">
        <v>37</v>
      </c>
      <c r="B46" s="3" t="s">
        <v>47</v>
      </c>
      <c r="C46" s="2">
        <v>321</v>
      </c>
      <c r="D46" s="2">
        <v>2374</v>
      </c>
      <c r="E46" s="2">
        <v>1640</v>
      </c>
      <c r="F46" s="2">
        <v>0</v>
      </c>
      <c r="G46" s="2">
        <v>0</v>
      </c>
      <c r="H46" s="2">
        <v>1064</v>
      </c>
      <c r="I46" s="2">
        <v>890</v>
      </c>
      <c r="J46" s="3">
        <f t="shared" si="2"/>
        <v>6289</v>
      </c>
      <c r="K46" s="3">
        <f t="shared" si="3"/>
        <v>190826</v>
      </c>
    </row>
    <row r="47" spans="1:11" x14ac:dyDescent="0.3">
      <c r="A47" s="3">
        <v>38</v>
      </c>
      <c r="B47" s="3" t="s">
        <v>48</v>
      </c>
      <c r="C47" s="2">
        <v>71</v>
      </c>
      <c r="D47" s="2">
        <v>773</v>
      </c>
      <c r="E47" s="2">
        <v>320</v>
      </c>
      <c r="F47" s="2">
        <v>0</v>
      </c>
      <c r="G47" s="2">
        <v>0</v>
      </c>
      <c r="H47" s="2">
        <v>35</v>
      </c>
      <c r="I47" s="2">
        <v>819</v>
      </c>
      <c r="J47" s="3">
        <f t="shared" si="2"/>
        <v>2018</v>
      </c>
      <c r="K47" s="3">
        <f t="shared" si="3"/>
        <v>192844</v>
      </c>
    </row>
    <row r="48" spans="1:11" x14ac:dyDescent="0.3">
      <c r="A48" s="3">
        <v>39</v>
      </c>
      <c r="B48" s="3" t="s">
        <v>49</v>
      </c>
      <c r="C48" s="2">
        <v>211</v>
      </c>
      <c r="D48" s="2">
        <v>756</v>
      </c>
      <c r="E48" s="2">
        <v>0</v>
      </c>
      <c r="F48" s="2">
        <v>0</v>
      </c>
      <c r="G48" s="2">
        <v>0</v>
      </c>
      <c r="H48" s="2">
        <v>140</v>
      </c>
      <c r="I48" s="2">
        <v>69</v>
      </c>
      <c r="J48" s="3">
        <f t="shared" si="2"/>
        <v>1176</v>
      </c>
      <c r="K48" s="3">
        <f t="shared" si="3"/>
        <v>194020</v>
      </c>
    </row>
    <row r="49" spans="1:11" x14ac:dyDescent="0.3">
      <c r="A49" s="3">
        <v>40</v>
      </c>
      <c r="B49" s="3" t="s">
        <v>50</v>
      </c>
      <c r="C49" s="2">
        <v>214</v>
      </c>
      <c r="D49" s="2">
        <v>436</v>
      </c>
      <c r="E49" s="2">
        <v>0</v>
      </c>
      <c r="F49" s="2">
        <v>0</v>
      </c>
      <c r="G49" s="2">
        <v>0</v>
      </c>
      <c r="H49" s="2">
        <v>69</v>
      </c>
      <c r="I49" s="2">
        <v>0</v>
      </c>
      <c r="J49" s="3">
        <f t="shared" si="2"/>
        <v>719</v>
      </c>
      <c r="K49" s="3">
        <f t="shared" si="3"/>
        <v>194739</v>
      </c>
    </row>
    <row r="50" spans="1:11" x14ac:dyDescent="0.3">
      <c r="A50" s="3">
        <v>41</v>
      </c>
      <c r="B50" s="3" t="s">
        <v>51</v>
      </c>
      <c r="C50" s="2">
        <v>228</v>
      </c>
      <c r="D50" s="2">
        <v>802</v>
      </c>
      <c r="E50" s="2">
        <v>19</v>
      </c>
      <c r="F50" s="2">
        <v>0</v>
      </c>
      <c r="G50" s="2">
        <v>0</v>
      </c>
      <c r="H50" s="2">
        <v>2389</v>
      </c>
      <c r="I50" s="2">
        <v>4251</v>
      </c>
      <c r="J50" s="3">
        <f t="shared" si="2"/>
        <v>7689</v>
      </c>
      <c r="K50" s="3">
        <f t="shared" si="3"/>
        <v>202428</v>
      </c>
    </row>
    <row r="51" spans="1:11" x14ac:dyDescent="0.3">
      <c r="A51" s="3">
        <v>42</v>
      </c>
      <c r="B51" s="3" t="s">
        <v>52</v>
      </c>
      <c r="C51" s="2">
        <v>462</v>
      </c>
      <c r="D51" s="2">
        <v>3072</v>
      </c>
      <c r="E51" s="2">
        <v>104</v>
      </c>
      <c r="F51" s="2">
        <v>0</v>
      </c>
      <c r="G51" s="2">
        <v>0</v>
      </c>
      <c r="H51" s="2">
        <v>2674</v>
      </c>
      <c r="I51" s="2">
        <v>1698</v>
      </c>
      <c r="J51" s="3">
        <f t="shared" si="2"/>
        <v>8010</v>
      </c>
      <c r="K51" s="3">
        <f t="shared" si="3"/>
        <v>210438</v>
      </c>
    </row>
    <row r="52" spans="1:11" x14ac:dyDescent="0.3">
      <c r="A52" s="3">
        <v>43</v>
      </c>
      <c r="B52" s="3" t="s">
        <v>53</v>
      </c>
      <c r="C52" s="2">
        <v>463</v>
      </c>
      <c r="D52" s="2">
        <v>354</v>
      </c>
      <c r="E52" s="2">
        <v>2959</v>
      </c>
      <c r="F52" s="2">
        <v>0</v>
      </c>
      <c r="G52" s="2">
        <v>0</v>
      </c>
      <c r="H52" s="2">
        <v>4014</v>
      </c>
      <c r="I52" s="2">
        <v>1148</v>
      </c>
      <c r="J52" s="3">
        <f t="shared" si="2"/>
        <v>8938</v>
      </c>
      <c r="K52" s="3">
        <f t="shared" si="3"/>
        <v>219376</v>
      </c>
    </row>
    <row r="53" spans="1:11" x14ac:dyDescent="0.3">
      <c r="A53" s="3">
        <v>44</v>
      </c>
      <c r="B53" s="3" t="s">
        <v>54</v>
      </c>
      <c r="C53" s="2">
        <v>286</v>
      </c>
      <c r="D53" s="2">
        <v>365</v>
      </c>
      <c r="E53" s="2">
        <v>251</v>
      </c>
      <c r="F53" s="2">
        <v>0</v>
      </c>
      <c r="G53" s="2">
        <v>0</v>
      </c>
      <c r="H53" s="2">
        <v>5385</v>
      </c>
      <c r="I53" s="2">
        <v>1755</v>
      </c>
      <c r="J53" s="3">
        <f t="shared" si="2"/>
        <v>8042</v>
      </c>
      <c r="K53" s="3">
        <f t="shared" si="3"/>
        <v>227418</v>
      </c>
    </row>
    <row r="54" spans="1:11" x14ac:dyDescent="0.3">
      <c r="A54" s="3">
        <v>45</v>
      </c>
      <c r="B54" s="3" t="s">
        <v>55</v>
      </c>
      <c r="C54" s="2">
        <v>286</v>
      </c>
      <c r="D54" s="2">
        <v>921</v>
      </c>
      <c r="E54" s="2">
        <v>861</v>
      </c>
      <c r="F54" s="2">
        <v>0</v>
      </c>
      <c r="G54" s="2">
        <v>0</v>
      </c>
      <c r="H54" s="2">
        <v>3219</v>
      </c>
      <c r="I54" s="2">
        <v>2577</v>
      </c>
      <c r="J54" s="3">
        <f t="shared" si="2"/>
        <v>7864</v>
      </c>
      <c r="K54" s="3">
        <f t="shared" si="3"/>
        <v>235282</v>
      </c>
    </row>
    <row r="55" spans="1:11" x14ac:dyDescent="0.3">
      <c r="A55" s="3">
        <v>46</v>
      </c>
      <c r="B55" s="3" t="s">
        <v>56</v>
      </c>
      <c r="C55" s="2">
        <v>602</v>
      </c>
      <c r="D55" s="2">
        <v>3189</v>
      </c>
      <c r="E55" s="2">
        <v>1011</v>
      </c>
      <c r="F55" s="2">
        <v>0</v>
      </c>
      <c r="G55" s="2">
        <v>0</v>
      </c>
      <c r="H55" s="2">
        <v>1574</v>
      </c>
      <c r="I55" s="2">
        <v>1599</v>
      </c>
      <c r="J55" s="3">
        <f t="shared" si="2"/>
        <v>7975</v>
      </c>
      <c r="K55" s="3">
        <f t="shared" si="3"/>
        <v>243257</v>
      </c>
    </row>
    <row r="56" spans="1:11" x14ac:dyDescent="0.3">
      <c r="A56" s="3">
        <v>47</v>
      </c>
      <c r="B56" s="3" t="s">
        <v>57</v>
      </c>
      <c r="C56" s="2">
        <v>2619</v>
      </c>
      <c r="D56" s="2">
        <v>2273</v>
      </c>
      <c r="E56" s="2">
        <v>706</v>
      </c>
      <c r="F56" s="2">
        <v>0</v>
      </c>
      <c r="G56" s="2">
        <v>0</v>
      </c>
      <c r="H56" s="2">
        <v>2536</v>
      </c>
      <c r="I56" s="2">
        <v>0</v>
      </c>
      <c r="J56" s="3">
        <f t="shared" si="2"/>
        <v>8134</v>
      </c>
      <c r="K56" s="3">
        <f t="shared" si="3"/>
        <v>251391</v>
      </c>
    </row>
    <row r="57" spans="1:11" x14ac:dyDescent="0.3">
      <c r="A57" s="3">
        <v>48</v>
      </c>
      <c r="B57" s="3" t="s">
        <v>58</v>
      </c>
      <c r="C57" s="2">
        <v>4754</v>
      </c>
      <c r="D57" s="2">
        <v>894</v>
      </c>
      <c r="E57" s="2">
        <v>1455</v>
      </c>
      <c r="F57" s="2">
        <v>0</v>
      </c>
      <c r="G57" s="2">
        <v>0</v>
      </c>
      <c r="H57" s="2">
        <v>821</v>
      </c>
      <c r="I57" s="2">
        <v>0</v>
      </c>
      <c r="J57" s="3">
        <f t="shared" si="2"/>
        <v>7924</v>
      </c>
      <c r="K57" s="3">
        <f t="shared" si="3"/>
        <v>259315</v>
      </c>
    </row>
    <row r="58" spans="1:11" x14ac:dyDescent="0.3">
      <c r="A58" s="3">
        <v>49</v>
      </c>
      <c r="B58" s="3" t="s">
        <v>59</v>
      </c>
      <c r="C58" s="2">
        <v>4736</v>
      </c>
      <c r="D58" s="2">
        <v>648</v>
      </c>
      <c r="E58" s="2">
        <v>1458</v>
      </c>
      <c r="F58" s="2">
        <v>36</v>
      </c>
      <c r="G58" s="2">
        <v>2375</v>
      </c>
      <c r="H58" s="2">
        <v>0</v>
      </c>
      <c r="I58" s="2">
        <v>0</v>
      </c>
      <c r="J58" s="3">
        <f t="shared" si="2"/>
        <v>9253</v>
      </c>
      <c r="K58" s="3">
        <f t="shared" si="3"/>
        <v>268568</v>
      </c>
    </row>
    <row r="59" spans="1:11" x14ac:dyDescent="0.3">
      <c r="A59" s="3">
        <v>50</v>
      </c>
      <c r="B59" s="3" t="s">
        <v>60</v>
      </c>
      <c r="C59" s="2">
        <v>3659</v>
      </c>
      <c r="D59" s="2">
        <v>2083</v>
      </c>
      <c r="E59" s="2">
        <v>156</v>
      </c>
      <c r="F59" s="2">
        <v>0</v>
      </c>
      <c r="G59" s="2">
        <v>2575</v>
      </c>
      <c r="H59" s="2">
        <v>242</v>
      </c>
      <c r="I59" s="2">
        <v>0</v>
      </c>
      <c r="J59" s="3">
        <f t="shared" si="2"/>
        <v>8715</v>
      </c>
      <c r="K59" s="3">
        <f t="shared" si="3"/>
        <v>277283</v>
      </c>
    </row>
    <row r="60" spans="1:11" x14ac:dyDescent="0.3">
      <c r="A60" s="3">
        <v>51</v>
      </c>
      <c r="B60" s="3" t="s">
        <v>61</v>
      </c>
      <c r="C60" s="2">
        <v>862</v>
      </c>
      <c r="D60" s="2">
        <v>2376</v>
      </c>
      <c r="E60" s="2">
        <v>0</v>
      </c>
      <c r="F60" s="2">
        <v>0</v>
      </c>
      <c r="G60" s="2">
        <v>1292</v>
      </c>
      <c r="H60" s="2">
        <v>661</v>
      </c>
      <c r="I60" s="2">
        <v>0</v>
      </c>
      <c r="J60" s="3">
        <f t="shared" si="2"/>
        <v>5191</v>
      </c>
      <c r="K60" s="3">
        <f t="shared" si="3"/>
        <v>282474</v>
      </c>
    </row>
    <row r="61" spans="1:11" x14ac:dyDescent="0.3">
      <c r="A61" s="3">
        <v>52</v>
      </c>
      <c r="B61" s="3" t="s">
        <v>62</v>
      </c>
      <c r="C61" s="2">
        <v>144</v>
      </c>
      <c r="D61" s="2">
        <v>972</v>
      </c>
      <c r="E61" s="2">
        <v>1275</v>
      </c>
      <c r="F61" s="2">
        <v>0</v>
      </c>
      <c r="G61" s="2">
        <v>718</v>
      </c>
      <c r="H61" s="2">
        <v>766</v>
      </c>
      <c r="I61" s="2">
        <v>0</v>
      </c>
      <c r="J61" s="3">
        <f t="shared" si="2"/>
        <v>3875</v>
      </c>
      <c r="K61" s="3">
        <f t="shared" si="3"/>
        <v>286349</v>
      </c>
    </row>
    <row r="62" spans="1:11" x14ac:dyDescent="0.3">
      <c r="A62" s="3" t="s">
        <v>2</v>
      </c>
      <c r="B62" s="3" t="s">
        <v>63</v>
      </c>
      <c r="C62" s="3">
        <f t="shared" ref="C62:I62" si="4">SUM(C10:C61)</f>
        <v>80208</v>
      </c>
      <c r="D62" s="3">
        <f t="shared" si="4"/>
        <v>71779</v>
      </c>
      <c r="E62" s="3">
        <f t="shared" si="4"/>
        <v>37585</v>
      </c>
      <c r="F62" s="3">
        <f t="shared" si="4"/>
        <v>36</v>
      </c>
      <c r="G62" s="3">
        <f t="shared" si="4"/>
        <v>6960</v>
      </c>
      <c r="H62" s="3">
        <f t="shared" si="4"/>
        <v>26662</v>
      </c>
      <c r="I62" s="3">
        <f t="shared" si="4"/>
        <v>63119</v>
      </c>
      <c r="J62" s="3">
        <f>SUM(J10:J61)</f>
        <v>286349</v>
      </c>
      <c r="K62" s="3"/>
    </row>
  </sheetData>
  <mergeCells count="3">
    <mergeCell ref="A6:K6"/>
    <mergeCell ref="A7:K7"/>
    <mergeCell ref="A8:K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H65"/>
  <sheetViews>
    <sheetView workbookViewId="0">
      <pane xSplit="2" ySplit="9" topLeftCell="C55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2.109375" customWidth="1"/>
    <col min="6" max="6" width="13.44140625" customWidth="1"/>
    <col min="7" max="7" width="17.33203125" bestFit="1" customWidth="1"/>
    <col min="8" max="8" width="22.77734375" bestFit="1" customWidth="1"/>
  </cols>
  <sheetData>
    <row r="6" spans="1:8" ht="15.6" x14ac:dyDescent="0.3">
      <c r="A6" s="6" t="s">
        <v>80</v>
      </c>
      <c r="B6" s="7"/>
      <c r="C6" s="7"/>
      <c r="D6" s="7"/>
      <c r="E6" s="7"/>
      <c r="F6" s="7"/>
      <c r="G6" s="7"/>
      <c r="H6" s="8"/>
    </row>
    <row r="7" spans="1:8" ht="15.6" x14ac:dyDescent="0.3">
      <c r="A7" s="6" t="s">
        <v>81</v>
      </c>
      <c r="B7" s="7"/>
      <c r="C7" s="7"/>
      <c r="D7" s="7"/>
      <c r="E7" s="7"/>
      <c r="F7" s="7"/>
      <c r="G7" s="7"/>
      <c r="H7" s="8"/>
    </row>
    <row r="8" spans="1:8" x14ac:dyDescent="0.3">
      <c r="A8" s="9" t="s">
        <v>2</v>
      </c>
      <c r="B8" s="10"/>
      <c r="C8" s="10"/>
      <c r="D8" s="10"/>
      <c r="E8" s="10"/>
      <c r="F8" s="10"/>
      <c r="G8" s="10"/>
      <c r="H8" s="11"/>
    </row>
    <row r="9" spans="1:8" x14ac:dyDescent="0.3">
      <c r="A9" s="1"/>
      <c r="B9" s="1" t="s">
        <v>3</v>
      </c>
      <c r="C9" s="1" t="s">
        <v>82</v>
      </c>
      <c r="D9" s="1" t="s">
        <v>83</v>
      </c>
      <c r="E9" s="1" t="s">
        <v>84</v>
      </c>
      <c r="F9" s="1" t="s">
        <v>85</v>
      </c>
      <c r="G9" s="4" t="s">
        <v>90</v>
      </c>
      <c r="H9" s="4" t="s">
        <v>91</v>
      </c>
    </row>
    <row r="10" spans="1:8" x14ac:dyDescent="0.3">
      <c r="A10" s="3">
        <v>1</v>
      </c>
      <c r="B10" s="3" t="s">
        <v>11</v>
      </c>
      <c r="C10" s="2">
        <v>0</v>
      </c>
      <c r="D10" s="2">
        <v>5296</v>
      </c>
      <c r="E10" s="2">
        <v>0</v>
      </c>
      <c r="F10" s="2">
        <v>0</v>
      </c>
      <c r="G10" s="3">
        <f t="shared" ref="G10:G41" si="0">SUM(C10:F10)</f>
        <v>5296</v>
      </c>
      <c r="H10" s="3">
        <f>G10</f>
        <v>5296</v>
      </c>
    </row>
    <row r="11" spans="1:8" x14ac:dyDescent="0.3">
      <c r="A11" s="3">
        <v>2</v>
      </c>
      <c r="B11" s="3" t="s">
        <v>12</v>
      </c>
      <c r="C11" s="2">
        <v>0</v>
      </c>
      <c r="D11" s="2">
        <v>47861</v>
      </c>
      <c r="E11" s="2">
        <v>7106</v>
      </c>
      <c r="F11" s="2">
        <v>0</v>
      </c>
      <c r="G11" s="3">
        <f t="shared" si="0"/>
        <v>54967</v>
      </c>
      <c r="H11" s="3">
        <f t="shared" ref="H11:H42" si="1">G11+H10</f>
        <v>60263</v>
      </c>
    </row>
    <row r="12" spans="1:8" x14ac:dyDescent="0.3">
      <c r="A12" s="3">
        <v>3</v>
      </c>
      <c r="B12" s="3" t="s">
        <v>13</v>
      </c>
      <c r="C12" s="2">
        <v>19966</v>
      </c>
      <c r="D12" s="2">
        <v>53946</v>
      </c>
      <c r="E12" s="2">
        <v>0</v>
      </c>
      <c r="F12" s="2">
        <v>0</v>
      </c>
      <c r="G12" s="3">
        <f t="shared" si="0"/>
        <v>73912</v>
      </c>
      <c r="H12" s="3">
        <f t="shared" si="1"/>
        <v>134175</v>
      </c>
    </row>
    <row r="13" spans="1:8" x14ac:dyDescent="0.3">
      <c r="A13" s="3">
        <v>4</v>
      </c>
      <c r="B13" s="3" t="s">
        <v>14</v>
      </c>
      <c r="C13" s="2">
        <v>0</v>
      </c>
      <c r="D13" s="2">
        <v>15515</v>
      </c>
      <c r="E13" s="2">
        <v>0</v>
      </c>
      <c r="F13" s="2">
        <v>3151</v>
      </c>
      <c r="G13" s="3">
        <f t="shared" si="0"/>
        <v>18666</v>
      </c>
      <c r="H13" s="3">
        <f t="shared" si="1"/>
        <v>152841</v>
      </c>
    </row>
    <row r="14" spans="1:8" x14ac:dyDescent="0.3">
      <c r="A14" s="3">
        <v>5</v>
      </c>
      <c r="B14" s="3" t="s">
        <v>15</v>
      </c>
      <c r="C14" s="2">
        <v>0</v>
      </c>
      <c r="D14" s="2">
        <v>44082</v>
      </c>
      <c r="E14" s="2">
        <v>0</v>
      </c>
      <c r="F14" s="2">
        <v>4866</v>
      </c>
      <c r="G14" s="3">
        <f t="shared" si="0"/>
        <v>48948</v>
      </c>
      <c r="H14" s="3">
        <f t="shared" si="1"/>
        <v>201789</v>
      </c>
    </row>
    <row r="15" spans="1:8" x14ac:dyDescent="0.3">
      <c r="A15" s="3">
        <v>6</v>
      </c>
      <c r="B15" s="3" t="s">
        <v>16</v>
      </c>
      <c r="C15" s="2">
        <v>5001</v>
      </c>
      <c r="D15" s="2">
        <v>50489</v>
      </c>
      <c r="E15" s="2">
        <v>0</v>
      </c>
      <c r="F15" s="2">
        <v>0</v>
      </c>
      <c r="G15" s="3">
        <f t="shared" si="0"/>
        <v>55490</v>
      </c>
      <c r="H15" s="3">
        <f t="shared" si="1"/>
        <v>257279</v>
      </c>
    </row>
    <row r="16" spans="1:8" x14ac:dyDescent="0.3">
      <c r="A16" s="3">
        <v>7</v>
      </c>
      <c r="B16" s="3" t="s">
        <v>17</v>
      </c>
      <c r="C16" s="2">
        <v>0</v>
      </c>
      <c r="D16" s="2">
        <v>50106</v>
      </c>
      <c r="E16" s="2">
        <v>0</v>
      </c>
      <c r="F16" s="2">
        <v>0</v>
      </c>
      <c r="G16" s="3">
        <f t="shared" si="0"/>
        <v>50106</v>
      </c>
      <c r="H16" s="3">
        <f t="shared" si="1"/>
        <v>307385</v>
      </c>
    </row>
    <row r="17" spans="1:8" x14ac:dyDescent="0.3">
      <c r="A17" s="3">
        <v>8</v>
      </c>
      <c r="B17" s="3" t="s">
        <v>18</v>
      </c>
      <c r="C17" s="2">
        <v>0</v>
      </c>
      <c r="D17" s="2">
        <v>19726</v>
      </c>
      <c r="E17" s="2">
        <v>0</v>
      </c>
      <c r="F17" s="2">
        <v>0</v>
      </c>
      <c r="G17" s="3">
        <f t="shared" si="0"/>
        <v>19726</v>
      </c>
      <c r="H17" s="3">
        <f t="shared" si="1"/>
        <v>327111</v>
      </c>
    </row>
    <row r="18" spans="1:8" x14ac:dyDescent="0.3">
      <c r="A18" s="3">
        <v>9</v>
      </c>
      <c r="B18" s="3" t="s">
        <v>19</v>
      </c>
      <c r="C18" s="2">
        <v>0</v>
      </c>
      <c r="D18" s="2">
        <v>31895</v>
      </c>
      <c r="E18" s="2">
        <v>0</v>
      </c>
      <c r="F18" s="2">
        <v>0</v>
      </c>
      <c r="G18" s="3">
        <f t="shared" si="0"/>
        <v>31895</v>
      </c>
      <c r="H18" s="3">
        <f t="shared" si="1"/>
        <v>359006</v>
      </c>
    </row>
    <row r="19" spans="1:8" x14ac:dyDescent="0.3">
      <c r="A19" s="3">
        <v>10</v>
      </c>
      <c r="B19" s="3" t="s">
        <v>20</v>
      </c>
      <c r="C19" s="2">
        <v>0</v>
      </c>
      <c r="D19" s="2">
        <v>46834</v>
      </c>
      <c r="E19" s="2">
        <v>0</v>
      </c>
      <c r="F19" s="2">
        <v>0</v>
      </c>
      <c r="G19" s="3">
        <f t="shared" si="0"/>
        <v>46834</v>
      </c>
      <c r="H19" s="3">
        <f t="shared" si="1"/>
        <v>405840</v>
      </c>
    </row>
    <row r="20" spans="1:8" x14ac:dyDescent="0.3">
      <c r="A20" s="3">
        <v>11</v>
      </c>
      <c r="B20" s="3" t="s">
        <v>21</v>
      </c>
      <c r="C20" s="2">
        <v>0</v>
      </c>
      <c r="D20" s="2">
        <v>57798</v>
      </c>
      <c r="E20" s="2">
        <v>0</v>
      </c>
      <c r="F20" s="2">
        <v>0</v>
      </c>
      <c r="G20" s="3">
        <f t="shared" si="0"/>
        <v>57798</v>
      </c>
      <c r="H20" s="3">
        <f t="shared" si="1"/>
        <v>463638</v>
      </c>
    </row>
    <row r="21" spans="1:8" x14ac:dyDescent="0.3">
      <c r="A21" s="3">
        <v>12</v>
      </c>
      <c r="B21" s="3" t="s">
        <v>22</v>
      </c>
      <c r="C21" s="2">
        <v>0</v>
      </c>
      <c r="D21" s="2">
        <v>28964</v>
      </c>
      <c r="E21" s="2">
        <v>0</v>
      </c>
      <c r="F21" s="2">
        <v>0</v>
      </c>
      <c r="G21" s="3">
        <f t="shared" si="0"/>
        <v>28964</v>
      </c>
      <c r="H21" s="3">
        <f t="shared" si="1"/>
        <v>492602</v>
      </c>
    </row>
    <row r="22" spans="1:8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2">
        <v>0</v>
      </c>
      <c r="G22" s="3">
        <f t="shared" si="0"/>
        <v>0</v>
      </c>
      <c r="H22" s="3">
        <f t="shared" si="1"/>
        <v>492602</v>
      </c>
    </row>
    <row r="23" spans="1:8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2">
        <v>0</v>
      </c>
      <c r="G23" s="3">
        <f t="shared" si="0"/>
        <v>0</v>
      </c>
      <c r="H23" s="3">
        <f t="shared" si="1"/>
        <v>492602</v>
      </c>
    </row>
    <row r="24" spans="1:8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2">
        <v>0</v>
      </c>
      <c r="G24" s="3">
        <f t="shared" si="0"/>
        <v>0</v>
      </c>
      <c r="H24" s="3">
        <f t="shared" si="1"/>
        <v>492602</v>
      </c>
    </row>
    <row r="25" spans="1:8" x14ac:dyDescent="0.3">
      <c r="A25" s="3">
        <v>16</v>
      </c>
      <c r="B25" s="3" t="s">
        <v>26</v>
      </c>
      <c r="C25" s="2">
        <v>0</v>
      </c>
      <c r="D25" s="2">
        <v>25064</v>
      </c>
      <c r="E25" s="2">
        <v>0</v>
      </c>
      <c r="F25" s="2">
        <v>0</v>
      </c>
      <c r="G25" s="3">
        <f t="shared" si="0"/>
        <v>25064</v>
      </c>
      <c r="H25" s="3">
        <f t="shared" si="1"/>
        <v>517666</v>
      </c>
    </row>
    <row r="26" spans="1:8" x14ac:dyDescent="0.3">
      <c r="A26" s="3">
        <v>17</v>
      </c>
      <c r="B26" s="3" t="s">
        <v>27</v>
      </c>
      <c r="C26" s="2">
        <v>6140</v>
      </c>
      <c r="D26" s="2">
        <v>21939</v>
      </c>
      <c r="E26" s="2">
        <v>0</v>
      </c>
      <c r="F26" s="2">
        <v>0</v>
      </c>
      <c r="G26" s="3">
        <f t="shared" si="0"/>
        <v>28079</v>
      </c>
      <c r="H26" s="3">
        <f t="shared" si="1"/>
        <v>545745</v>
      </c>
    </row>
    <row r="27" spans="1:8" x14ac:dyDescent="0.3">
      <c r="A27" s="3">
        <v>18</v>
      </c>
      <c r="B27" s="3" t="s">
        <v>28</v>
      </c>
      <c r="C27" s="2">
        <v>18625</v>
      </c>
      <c r="D27" s="2">
        <v>26412</v>
      </c>
      <c r="E27" s="2">
        <v>0</v>
      </c>
      <c r="F27" s="2">
        <v>0</v>
      </c>
      <c r="G27" s="3">
        <f t="shared" si="0"/>
        <v>45037</v>
      </c>
      <c r="H27" s="3">
        <f t="shared" si="1"/>
        <v>590782</v>
      </c>
    </row>
    <row r="28" spans="1:8" x14ac:dyDescent="0.3">
      <c r="A28" s="3">
        <v>19</v>
      </c>
      <c r="B28" s="3" t="s">
        <v>29</v>
      </c>
      <c r="C28" s="2">
        <v>5235</v>
      </c>
      <c r="D28" s="2">
        <v>6713</v>
      </c>
      <c r="E28" s="2">
        <v>0</v>
      </c>
      <c r="F28" s="2">
        <v>0</v>
      </c>
      <c r="G28" s="3">
        <f t="shared" si="0"/>
        <v>11948</v>
      </c>
      <c r="H28" s="3">
        <f t="shared" si="1"/>
        <v>602730</v>
      </c>
    </row>
    <row r="29" spans="1:8" x14ac:dyDescent="0.3">
      <c r="A29" s="3">
        <v>20</v>
      </c>
      <c r="B29" s="3" t="s">
        <v>30</v>
      </c>
      <c r="C29" s="2">
        <v>0</v>
      </c>
      <c r="D29" s="2">
        <v>92741</v>
      </c>
      <c r="E29" s="2">
        <v>0</v>
      </c>
      <c r="F29" s="2">
        <v>0</v>
      </c>
      <c r="G29" s="3">
        <f t="shared" si="0"/>
        <v>92741</v>
      </c>
      <c r="H29" s="3">
        <f t="shared" si="1"/>
        <v>695471</v>
      </c>
    </row>
    <row r="30" spans="1:8" x14ac:dyDescent="0.3">
      <c r="A30" s="3">
        <v>21</v>
      </c>
      <c r="B30" s="3" t="s">
        <v>31</v>
      </c>
      <c r="C30" s="2">
        <v>0</v>
      </c>
      <c r="D30" s="2">
        <v>42221</v>
      </c>
      <c r="E30" s="2">
        <v>0</v>
      </c>
      <c r="F30" s="2">
        <v>0</v>
      </c>
      <c r="G30" s="3">
        <f t="shared" si="0"/>
        <v>42221</v>
      </c>
      <c r="H30" s="3">
        <f t="shared" si="1"/>
        <v>737692</v>
      </c>
    </row>
    <row r="31" spans="1:8" x14ac:dyDescent="0.3">
      <c r="A31" s="3">
        <v>22</v>
      </c>
      <c r="B31" s="3" t="s">
        <v>32</v>
      </c>
      <c r="C31" s="2">
        <v>0</v>
      </c>
      <c r="D31" s="2">
        <v>55563</v>
      </c>
      <c r="E31" s="2">
        <v>0</v>
      </c>
      <c r="F31" s="2">
        <v>0</v>
      </c>
      <c r="G31" s="3">
        <f t="shared" si="0"/>
        <v>55563</v>
      </c>
      <c r="H31" s="3">
        <f t="shared" si="1"/>
        <v>793255</v>
      </c>
    </row>
    <row r="32" spans="1:8" x14ac:dyDescent="0.3">
      <c r="A32" s="3">
        <v>23</v>
      </c>
      <c r="B32" s="3" t="s">
        <v>33</v>
      </c>
      <c r="C32" s="2">
        <v>0</v>
      </c>
      <c r="D32" s="2">
        <v>60613</v>
      </c>
      <c r="E32" s="2">
        <v>0</v>
      </c>
      <c r="F32" s="2">
        <v>0</v>
      </c>
      <c r="G32" s="3">
        <f t="shared" si="0"/>
        <v>60613</v>
      </c>
      <c r="H32" s="3">
        <f t="shared" si="1"/>
        <v>853868</v>
      </c>
    </row>
    <row r="33" spans="1:8" x14ac:dyDescent="0.3">
      <c r="A33" s="3">
        <v>24</v>
      </c>
      <c r="B33" s="3" t="s">
        <v>34</v>
      </c>
      <c r="C33" s="2">
        <v>0</v>
      </c>
      <c r="D33" s="2">
        <v>45038</v>
      </c>
      <c r="E33" s="2">
        <v>2076</v>
      </c>
      <c r="F33" s="2">
        <v>0</v>
      </c>
      <c r="G33" s="3">
        <f t="shared" si="0"/>
        <v>47114</v>
      </c>
      <c r="H33" s="3">
        <f t="shared" si="1"/>
        <v>900982</v>
      </c>
    </row>
    <row r="34" spans="1:8" x14ac:dyDescent="0.3">
      <c r="A34" s="3">
        <v>25</v>
      </c>
      <c r="B34" s="3" t="s">
        <v>35</v>
      </c>
      <c r="C34" s="2">
        <v>0</v>
      </c>
      <c r="D34" s="2">
        <v>61695</v>
      </c>
      <c r="E34" s="2">
        <v>3912</v>
      </c>
      <c r="F34" s="2">
        <v>0</v>
      </c>
      <c r="G34" s="3">
        <f t="shared" si="0"/>
        <v>65607</v>
      </c>
      <c r="H34" s="3">
        <f t="shared" si="1"/>
        <v>966589</v>
      </c>
    </row>
    <row r="35" spans="1:8" x14ac:dyDescent="0.3">
      <c r="A35" s="3">
        <v>26</v>
      </c>
      <c r="B35" s="3" t="s">
        <v>36</v>
      </c>
      <c r="C35" s="2">
        <v>5946</v>
      </c>
      <c r="D35" s="2">
        <v>29637</v>
      </c>
      <c r="E35" s="2">
        <v>0</v>
      </c>
      <c r="F35" s="2">
        <v>0</v>
      </c>
      <c r="G35" s="3">
        <f t="shared" si="0"/>
        <v>35583</v>
      </c>
      <c r="H35" s="3">
        <f t="shared" si="1"/>
        <v>1002172</v>
      </c>
    </row>
    <row r="36" spans="1:8" x14ac:dyDescent="0.3">
      <c r="A36" s="3">
        <v>27</v>
      </c>
      <c r="B36" s="3" t="s">
        <v>37</v>
      </c>
      <c r="C36" s="2">
        <v>0</v>
      </c>
      <c r="D36" s="2">
        <v>25358</v>
      </c>
      <c r="E36" s="2">
        <v>0</v>
      </c>
      <c r="F36" s="2">
        <v>0</v>
      </c>
      <c r="G36" s="3">
        <f t="shared" si="0"/>
        <v>25358</v>
      </c>
      <c r="H36" s="3">
        <f t="shared" si="1"/>
        <v>1027530</v>
      </c>
    </row>
    <row r="37" spans="1:8" x14ac:dyDescent="0.3">
      <c r="A37" s="3">
        <v>28</v>
      </c>
      <c r="B37" s="3" t="s">
        <v>38</v>
      </c>
      <c r="C37" s="2">
        <v>15258</v>
      </c>
      <c r="D37" s="2">
        <v>14102</v>
      </c>
      <c r="E37" s="2">
        <v>0</v>
      </c>
      <c r="F37" s="2">
        <v>0</v>
      </c>
      <c r="G37" s="3">
        <f t="shared" si="0"/>
        <v>29360</v>
      </c>
      <c r="H37" s="3">
        <f t="shared" si="1"/>
        <v>1056890</v>
      </c>
    </row>
    <row r="38" spans="1:8" x14ac:dyDescent="0.3">
      <c r="A38" s="3">
        <v>29</v>
      </c>
      <c r="B38" s="3" t="s">
        <v>39</v>
      </c>
      <c r="C38" s="2">
        <v>14755</v>
      </c>
      <c r="D38" s="2">
        <v>40267</v>
      </c>
      <c r="E38" s="2">
        <v>0</v>
      </c>
      <c r="F38" s="2">
        <v>0</v>
      </c>
      <c r="G38" s="3">
        <f t="shared" si="0"/>
        <v>55022</v>
      </c>
      <c r="H38" s="3">
        <f t="shared" si="1"/>
        <v>1111912</v>
      </c>
    </row>
    <row r="39" spans="1:8" x14ac:dyDescent="0.3">
      <c r="A39" s="3">
        <v>30</v>
      </c>
      <c r="B39" s="3" t="s">
        <v>40</v>
      </c>
      <c r="C39" s="2">
        <v>0</v>
      </c>
      <c r="D39" s="2">
        <v>24793</v>
      </c>
      <c r="E39" s="2">
        <v>0</v>
      </c>
      <c r="F39" s="2">
        <v>0</v>
      </c>
      <c r="G39" s="3">
        <f t="shared" si="0"/>
        <v>24793</v>
      </c>
      <c r="H39" s="3">
        <f t="shared" si="1"/>
        <v>1136705</v>
      </c>
    </row>
    <row r="40" spans="1:8" x14ac:dyDescent="0.3">
      <c r="A40" s="3">
        <v>31</v>
      </c>
      <c r="B40" s="3" t="s">
        <v>41</v>
      </c>
      <c r="C40" s="2">
        <v>0</v>
      </c>
      <c r="D40" s="2">
        <v>42681</v>
      </c>
      <c r="E40" s="2">
        <v>0</v>
      </c>
      <c r="F40" s="2">
        <v>0</v>
      </c>
      <c r="G40" s="3">
        <f t="shared" si="0"/>
        <v>42681</v>
      </c>
      <c r="H40" s="3">
        <f t="shared" si="1"/>
        <v>1179386</v>
      </c>
    </row>
    <row r="41" spans="1:8" x14ac:dyDescent="0.3">
      <c r="A41" s="3">
        <v>32</v>
      </c>
      <c r="B41" s="3" t="s">
        <v>42</v>
      </c>
      <c r="C41" s="2">
        <v>0</v>
      </c>
      <c r="D41" s="2">
        <v>53920</v>
      </c>
      <c r="E41" s="2">
        <v>0</v>
      </c>
      <c r="F41" s="2">
        <v>0</v>
      </c>
      <c r="G41" s="3">
        <f t="shared" si="0"/>
        <v>53920</v>
      </c>
      <c r="H41" s="3">
        <f t="shared" si="1"/>
        <v>1233306</v>
      </c>
    </row>
    <row r="42" spans="1:8" x14ac:dyDescent="0.3">
      <c r="A42" s="3">
        <v>33</v>
      </c>
      <c r="B42" s="3" t="s">
        <v>43</v>
      </c>
      <c r="C42" s="2">
        <v>18607</v>
      </c>
      <c r="D42" s="2">
        <v>39578</v>
      </c>
      <c r="E42" s="2">
        <v>0</v>
      </c>
      <c r="F42" s="2">
        <v>0</v>
      </c>
      <c r="G42" s="3">
        <f t="shared" ref="G42:G61" si="2">SUM(C42:F42)</f>
        <v>58185</v>
      </c>
      <c r="H42" s="3">
        <f t="shared" si="1"/>
        <v>1291491</v>
      </c>
    </row>
    <row r="43" spans="1:8" x14ac:dyDescent="0.3">
      <c r="A43" s="3">
        <v>34</v>
      </c>
      <c r="B43" s="3" t="s">
        <v>44</v>
      </c>
      <c r="C43" s="2">
        <v>4420</v>
      </c>
      <c r="D43" s="2">
        <v>4300</v>
      </c>
      <c r="E43" s="2">
        <v>0</v>
      </c>
      <c r="F43" s="2">
        <v>0</v>
      </c>
      <c r="G43" s="3">
        <f t="shared" si="2"/>
        <v>8720</v>
      </c>
      <c r="H43" s="3">
        <f t="shared" ref="H43:H61" si="3">G43+H42</f>
        <v>1300211</v>
      </c>
    </row>
    <row r="44" spans="1:8" x14ac:dyDescent="0.3">
      <c r="A44" s="3">
        <v>35</v>
      </c>
      <c r="B44" s="3" t="s">
        <v>45</v>
      </c>
      <c r="C44" s="2">
        <v>0</v>
      </c>
      <c r="D44" s="2">
        <v>3387</v>
      </c>
      <c r="E44" s="2">
        <v>0</v>
      </c>
      <c r="F44" s="2">
        <v>0</v>
      </c>
      <c r="G44" s="3">
        <f t="shared" si="2"/>
        <v>3387</v>
      </c>
      <c r="H44" s="3">
        <f t="shared" si="3"/>
        <v>1303598</v>
      </c>
    </row>
    <row r="45" spans="1:8" x14ac:dyDescent="0.3">
      <c r="A45" s="3">
        <v>36</v>
      </c>
      <c r="B45" s="3" t="s">
        <v>46</v>
      </c>
      <c r="C45" s="2">
        <v>10480</v>
      </c>
      <c r="D45" s="2">
        <v>18624</v>
      </c>
      <c r="E45" s="2">
        <v>0</v>
      </c>
      <c r="F45" s="2">
        <v>0</v>
      </c>
      <c r="G45" s="3">
        <f t="shared" si="2"/>
        <v>29104</v>
      </c>
      <c r="H45" s="3">
        <f t="shared" si="3"/>
        <v>1332702</v>
      </c>
    </row>
    <row r="46" spans="1:8" x14ac:dyDescent="0.3">
      <c r="A46" s="3">
        <v>37</v>
      </c>
      <c r="B46" s="3" t="s">
        <v>47</v>
      </c>
      <c r="C46" s="2">
        <v>5617</v>
      </c>
      <c r="D46" s="2">
        <v>0</v>
      </c>
      <c r="E46" s="2">
        <v>0</v>
      </c>
      <c r="F46" s="2">
        <v>0</v>
      </c>
      <c r="G46" s="3">
        <f t="shared" si="2"/>
        <v>5617</v>
      </c>
      <c r="H46" s="3">
        <f t="shared" si="3"/>
        <v>1338319</v>
      </c>
    </row>
    <row r="47" spans="1:8" x14ac:dyDescent="0.3">
      <c r="A47" s="3">
        <v>38</v>
      </c>
      <c r="B47" s="3" t="s">
        <v>48</v>
      </c>
      <c r="C47" s="2">
        <v>0</v>
      </c>
      <c r="D47" s="2">
        <v>29181</v>
      </c>
      <c r="E47" s="2">
        <v>0</v>
      </c>
      <c r="F47" s="2">
        <v>0</v>
      </c>
      <c r="G47" s="3">
        <f t="shared" si="2"/>
        <v>29181</v>
      </c>
      <c r="H47" s="3">
        <f t="shared" si="3"/>
        <v>1367500</v>
      </c>
    </row>
    <row r="48" spans="1:8" x14ac:dyDescent="0.3">
      <c r="A48" s="3">
        <v>39</v>
      </c>
      <c r="B48" s="3" t="s">
        <v>49</v>
      </c>
      <c r="C48" s="2">
        <v>0</v>
      </c>
      <c r="D48" s="2">
        <v>51404</v>
      </c>
      <c r="E48" s="2">
        <v>0</v>
      </c>
      <c r="F48" s="2">
        <v>5700</v>
      </c>
      <c r="G48" s="3">
        <f t="shared" si="2"/>
        <v>57104</v>
      </c>
      <c r="H48" s="3">
        <f t="shared" si="3"/>
        <v>1424604</v>
      </c>
    </row>
    <row r="49" spans="1:8" x14ac:dyDescent="0.3">
      <c r="A49" s="3">
        <v>40</v>
      </c>
      <c r="B49" s="3" t="s">
        <v>50</v>
      </c>
      <c r="C49" s="2">
        <v>0</v>
      </c>
      <c r="D49" s="2">
        <v>0</v>
      </c>
      <c r="E49" s="2">
        <v>0</v>
      </c>
      <c r="F49" s="2">
        <v>3306</v>
      </c>
      <c r="G49" s="3">
        <f t="shared" si="2"/>
        <v>3306</v>
      </c>
      <c r="H49" s="3">
        <f t="shared" si="3"/>
        <v>1427910</v>
      </c>
    </row>
    <row r="50" spans="1:8" x14ac:dyDescent="0.3">
      <c r="A50" s="3">
        <v>41</v>
      </c>
      <c r="B50" s="3" t="s">
        <v>51</v>
      </c>
      <c r="C50" s="2">
        <v>12614</v>
      </c>
      <c r="D50" s="2">
        <v>75890</v>
      </c>
      <c r="E50" s="2">
        <v>0</v>
      </c>
      <c r="F50" s="2">
        <v>0</v>
      </c>
      <c r="G50" s="3">
        <f t="shared" si="2"/>
        <v>88504</v>
      </c>
      <c r="H50" s="3">
        <f t="shared" si="3"/>
        <v>1516414</v>
      </c>
    </row>
    <row r="51" spans="1:8" x14ac:dyDescent="0.3">
      <c r="A51" s="3">
        <v>42</v>
      </c>
      <c r="B51" s="3" t="s">
        <v>52</v>
      </c>
      <c r="C51" s="2">
        <v>7149</v>
      </c>
      <c r="D51" s="2">
        <v>65998</v>
      </c>
      <c r="E51" s="2">
        <v>0</v>
      </c>
      <c r="F51" s="2">
        <v>8025</v>
      </c>
      <c r="G51" s="3">
        <f t="shared" si="2"/>
        <v>81172</v>
      </c>
      <c r="H51" s="3">
        <f t="shared" si="3"/>
        <v>1597586</v>
      </c>
    </row>
    <row r="52" spans="1:8" x14ac:dyDescent="0.3">
      <c r="A52" s="3">
        <v>43</v>
      </c>
      <c r="B52" s="3" t="s">
        <v>53</v>
      </c>
      <c r="C52" s="2">
        <v>18507</v>
      </c>
      <c r="D52" s="2">
        <v>9603</v>
      </c>
      <c r="E52" s="2">
        <v>0</v>
      </c>
      <c r="F52" s="2">
        <v>0</v>
      </c>
      <c r="G52" s="3">
        <f t="shared" si="2"/>
        <v>28110</v>
      </c>
      <c r="H52" s="3">
        <f t="shared" si="3"/>
        <v>1625696</v>
      </c>
    </row>
    <row r="53" spans="1:8" x14ac:dyDescent="0.3">
      <c r="A53" s="3">
        <v>44</v>
      </c>
      <c r="B53" s="3" t="s">
        <v>54</v>
      </c>
      <c r="C53" s="2">
        <v>10216</v>
      </c>
      <c r="D53" s="2">
        <v>24129</v>
      </c>
      <c r="E53" s="2">
        <v>0</v>
      </c>
      <c r="F53" s="2">
        <v>0</v>
      </c>
      <c r="G53" s="3">
        <f t="shared" si="2"/>
        <v>34345</v>
      </c>
      <c r="H53" s="3">
        <f t="shared" si="3"/>
        <v>1660041</v>
      </c>
    </row>
    <row r="54" spans="1:8" x14ac:dyDescent="0.3">
      <c r="A54" s="3">
        <v>45</v>
      </c>
      <c r="B54" s="3" t="s">
        <v>55</v>
      </c>
      <c r="C54" s="2">
        <v>0</v>
      </c>
      <c r="D54" s="2">
        <v>44834</v>
      </c>
      <c r="E54" s="2">
        <v>0</v>
      </c>
      <c r="F54" s="2">
        <v>0</v>
      </c>
      <c r="G54" s="3">
        <f t="shared" si="2"/>
        <v>44834</v>
      </c>
      <c r="H54" s="3">
        <f t="shared" si="3"/>
        <v>1704875</v>
      </c>
    </row>
    <row r="55" spans="1:8" x14ac:dyDescent="0.3">
      <c r="A55" s="3">
        <v>46</v>
      </c>
      <c r="B55" s="3" t="s">
        <v>56</v>
      </c>
      <c r="C55" s="2">
        <v>0</v>
      </c>
      <c r="D55" s="2">
        <v>86476</v>
      </c>
      <c r="E55" s="2">
        <v>0</v>
      </c>
      <c r="F55" s="2">
        <v>0</v>
      </c>
      <c r="G55" s="3">
        <f t="shared" si="2"/>
        <v>86476</v>
      </c>
      <c r="H55" s="3">
        <f t="shared" si="3"/>
        <v>1791351</v>
      </c>
    </row>
    <row r="56" spans="1:8" x14ac:dyDescent="0.3">
      <c r="A56" s="3">
        <v>47</v>
      </c>
      <c r="B56" s="3" t="s">
        <v>57</v>
      </c>
      <c r="C56" s="2">
        <v>0</v>
      </c>
      <c r="D56" s="2">
        <v>34209</v>
      </c>
      <c r="E56" s="2">
        <v>0</v>
      </c>
      <c r="F56" s="2">
        <v>0</v>
      </c>
      <c r="G56" s="3">
        <f t="shared" si="2"/>
        <v>34209</v>
      </c>
      <c r="H56" s="3">
        <f t="shared" si="3"/>
        <v>1825560</v>
      </c>
    </row>
    <row r="57" spans="1:8" x14ac:dyDescent="0.3">
      <c r="A57" s="3">
        <v>48</v>
      </c>
      <c r="B57" s="3" t="s">
        <v>58</v>
      </c>
      <c r="C57" s="2">
        <v>0</v>
      </c>
      <c r="D57" s="2">
        <v>48441</v>
      </c>
      <c r="E57" s="2">
        <v>0</v>
      </c>
      <c r="F57" s="2">
        <v>0</v>
      </c>
      <c r="G57" s="3">
        <f t="shared" si="2"/>
        <v>48441</v>
      </c>
      <c r="H57" s="3">
        <f t="shared" si="3"/>
        <v>1874001</v>
      </c>
    </row>
    <row r="58" spans="1:8" x14ac:dyDescent="0.3">
      <c r="A58" s="3">
        <v>49</v>
      </c>
      <c r="B58" s="3" t="s">
        <v>59</v>
      </c>
      <c r="C58" s="2">
        <v>0</v>
      </c>
      <c r="D58" s="2">
        <v>45349</v>
      </c>
      <c r="E58" s="2">
        <v>2968</v>
      </c>
      <c r="F58" s="2">
        <v>0</v>
      </c>
      <c r="G58" s="3">
        <f t="shared" si="2"/>
        <v>48317</v>
      </c>
      <c r="H58" s="3">
        <f t="shared" si="3"/>
        <v>1922318</v>
      </c>
    </row>
    <row r="59" spans="1:8" x14ac:dyDescent="0.3">
      <c r="A59" s="3">
        <v>50</v>
      </c>
      <c r="B59" s="3" t="s">
        <v>60</v>
      </c>
      <c r="C59" s="2">
        <v>3805</v>
      </c>
      <c r="D59" s="2">
        <v>83402</v>
      </c>
      <c r="E59" s="2">
        <v>3041</v>
      </c>
      <c r="F59" s="2">
        <v>0</v>
      </c>
      <c r="G59" s="3">
        <f t="shared" si="2"/>
        <v>90248</v>
      </c>
      <c r="H59" s="3">
        <f t="shared" si="3"/>
        <v>2012566</v>
      </c>
    </row>
    <row r="60" spans="1:8" x14ac:dyDescent="0.3">
      <c r="A60" s="3">
        <v>51</v>
      </c>
      <c r="B60" s="3" t="s">
        <v>61</v>
      </c>
      <c r="C60" s="2">
        <v>5953</v>
      </c>
      <c r="D60" s="2">
        <v>49432</v>
      </c>
      <c r="E60" s="2">
        <v>0</v>
      </c>
      <c r="F60" s="2">
        <v>8005</v>
      </c>
      <c r="G60" s="3">
        <f t="shared" si="2"/>
        <v>63390</v>
      </c>
      <c r="H60" s="3">
        <f t="shared" si="3"/>
        <v>2075956</v>
      </c>
    </row>
    <row r="61" spans="1:8" x14ac:dyDescent="0.3">
      <c r="A61" s="3">
        <v>52</v>
      </c>
      <c r="B61" s="3" t="s">
        <v>62</v>
      </c>
      <c r="C61" s="2">
        <v>19964</v>
      </c>
      <c r="D61" s="2">
        <v>25392</v>
      </c>
      <c r="E61" s="2">
        <v>0</v>
      </c>
      <c r="F61" s="2">
        <v>0</v>
      </c>
      <c r="G61" s="3">
        <f t="shared" si="2"/>
        <v>45356</v>
      </c>
      <c r="H61" s="3">
        <f t="shared" si="3"/>
        <v>2121312</v>
      </c>
    </row>
    <row r="62" spans="1:8" x14ac:dyDescent="0.3">
      <c r="A62" s="3" t="s">
        <v>2</v>
      </c>
      <c r="B62" s="5" t="s">
        <v>92</v>
      </c>
      <c r="C62" s="3">
        <f>SUM(C10:C61)</f>
        <v>208258</v>
      </c>
      <c r="D62" s="3">
        <f>SUM(D10:D61)</f>
        <v>1860898</v>
      </c>
      <c r="E62" s="3">
        <f>SUM(E10:E61)</f>
        <v>19103</v>
      </c>
      <c r="F62" s="3">
        <f>SUM(F10:F61)</f>
        <v>33053</v>
      </c>
      <c r="G62" s="3">
        <f>SUM(G10:G61)</f>
        <v>2121312</v>
      </c>
      <c r="H62" s="3"/>
    </row>
    <row r="64" spans="1:8" x14ac:dyDescent="0.3">
      <c r="A64" t="s">
        <v>93</v>
      </c>
    </row>
    <row r="65" spans="1:1" x14ac:dyDescent="0.3">
      <c r="A65" t="s">
        <v>94</v>
      </c>
    </row>
  </sheetData>
  <mergeCells count="3">
    <mergeCell ref="A6:H6"/>
    <mergeCell ref="A7:H7"/>
    <mergeCell ref="A8:H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H62"/>
  <sheetViews>
    <sheetView workbookViewId="0">
      <pane xSplit="2" ySplit="9" topLeftCell="C55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2.109375" customWidth="1"/>
    <col min="6" max="6" width="13.44140625" customWidth="1"/>
    <col min="7" max="7" width="16.21875" bestFit="1" customWidth="1"/>
    <col min="8" max="8" width="21.77734375" bestFit="1" customWidth="1"/>
  </cols>
  <sheetData>
    <row r="6" spans="1:8" ht="15.6" x14ac:dyDescent="0.3">
      <c r="A6" s="6" t="s">
        <v>86</v>
      </c>
      <c r="B6" s="7"/>
      <c r="C6" s="7"/>
      <c r="D6" s="7"/>
      <c r="E6" s="7"/>
      <c r="F6" s="7"/>
      <c r="G6" s="7"/>
      <c r="H6" s="8"/>
    </row>
    <row r="7" spans="1:8" ht="15.6" x14ac:dyDescent="0.3">
      <c r="A7" s="6" t="s">
        <v>87</v>
      </c>
      <c r="B7" s="7"/>
      <c r="C7" s="7"/>
      <c r="D7" s="7"/>
      <c r="E7" s="7"/>
      <c r="F7" s="7"/>
      <c r="G7" s="7"/>
      <c r="H7" s="8"/>
    </row>
    <row r="8" spans="1:8" x14ac:dyDescent="0.3">
      <c r="A8" s="9" t="s">
        <v>2</v>
      </c>
      <c r="B8" s="10"/>
      <c r="C8" s="10"/>
      <c r="D8" s="10"/>
      <c r="E8" s="10"/>
      <c r="F8" s="10"/>
      <c r="G8" s="10"/>
      <c r="H8" s="11"/>
    </row>
    <row r="9" spans="1:8" x14ac:dyDescent="0.3">
      <c r="A9" s="1"/>
      <c r="B9" s="1" t="s">
        <v>3</v>
      </c>
      <c r="C9" s="1" t="s">
        <v>82</v>
      </c>
      <c r="D9" s="1" t="s">
        <v>83</v>
      </c>
      <c r="E9" s="1" t="s">
        <v>84</v>
      </c>
      <c r="F9" s="1" t="s">
        <v>85</v>
      </c>
      <c r="G9" s="4" t="s">
        <v>88</v>
      </c>
      <c r="H9" s="4" t="s">
        <v>89</v>
      </c>
    </row>
    <row r="10" spans="1:8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2">
        <v>0</v>
      </c>
      <c r="G10" s="3">
        <f t="shared" ref="G10:G41" si="0">SUM(C10:F10)</f>
        <v>0</v>
      </c>
      <c r="H10" s="3">
        <f>G10</f>
        <v>0</v>
      </c>
    </row>
    <row r="11" spans="1:8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2">
        <v>0</v>
      </c>
      <c r="G11" s="3">
        <f t="shared" si="0"/>
        <v>0</v>
      </c>
      <c r="H11" s="3">
        <f t="shared" ref="H11:H42" si="1">G11+H10</f>
        <v>0</v>
      </c>
    </row>
    <row r="12" spans="1:8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2">
        <v>0</v>
      </c>
      <c r="G12" s="3">
        <f t="shared" si="0"/>
        <v>0</v>
      </c>
      <c r="H12" s="3">
        <f t="shared" si="1"/>
        <v>0</v>
      </c>
    </row>
    <row r="13" spans="1:8" x14ac:dyDescent="0.3">
      <c r="A13" s="3">
        <v>4</v>
      </c>
      <c r="B13" s="3" t="s">
        <v>14</v>
      </c>
      <c r="C13" s="2">
        <v>0</v>
      </c>
      <c r="D13" s="2">
        <v>0</v>
      </c>
      <c r="E13" s="2">
        <v>0</v>
      </c>
      <c r="F13" s="2">
        <v>0</v>
      </c>
      <c r="G13" s="3">
        <f t="shared" si="0"/>
        <v>0</v>
      </c>
      <c r="H13" s="3">
        <f t="shared" si="1"/>
        <v>0</v>
      </c>
    </row>
    <row r="14" spans="1:8" x14ac:dyDescent="0.3">
      <c r="A14" s="3">
        <v>5</v>
      </c>
      <c r="B14" s="3" t="s">
        <v>15</v>
      </c>
      <c r="C14" s="2">
        <v>0</v>
      </c>
      <c r="D14" s="2">
        <v>0</v>
      </c>
      <c r="E14" s="2">
        <v>0</v>
      </c>
      <c r="F14" s="2">
        <v>0</v>
      </c>
      <c r="G14" s="3">
        <f t="shared" si="0"/>
        <v>0</v>
      </c>
      <c r="H14" s="3">
        <f t="shared" si="1"/>
        <v>0</v>
      </c>
    </row>
    <row r="15" spans="1:8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2">
        <v>0</v>
      </c>
      <c r="G15" s="3">
        <f t="shared" si="0"/>
        <v>0</v>
      </c>
      <c r="H15" s="3">
        <f t="shared" si="1"/>
        <v>0</v>
      </c>
    </row>
    <row r="16" spans="1:8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2">
        <v>0</v>
      </c>
      <c r="G16" s="3">
        <f t="shared" si="0"/>
        <v>0</v>
      </c>
      <c r="H16" s="3">
        <f t="shared" si="1"/>
        <v>0</v>
      </c>
    </row>
    <row r="17" spans="1:8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2">
        <v>0</v>
      </c>
      <c r="G17" s="3">
        <f t="shared" si="0"/>
        <v>0</v>
      </c>
      <c r="H17" s="3">
        <f t="shared" si="1"/>
        <v>0</v>
      </c>
    </row>
    <row r="18" spans="1:8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2">
        <v>0</v>
      </c>
      <c r="G18" s="3">
        <f t="shared" si="0"/>
        <v>0</v>
      </c>
      <c r="H18" s="3">
        <f t="shared" si="1"/>
        <v>0</v>
      </c>
    </row>
    <row r="19" spans="1:8" x14ac:dyDescent="0.3">
      <c r="A19" s="3">
        <v>10</v>
      </c>
      <c r="B19" s="3" t="s">
        <v>20</v>
      </c>
      <c r="C19" s="2">
        <v>0</v>
      </c>
      <c r="D19" s="2">
        <v>0</v>
      </c>
      <c r="E19" s="2">
        <v>0</v>
      </c>
      <c r="F19" s="2">
        <v>0</v>
      </c>
      <c r="G19" s="3">
        <f t="shared" si="0"/>
        <v>0</v>
      </c>
      <c r="H19" s="3">
        <f t="shared" si="1"/>
        <v>0</v>
      </c>
    </row>
    <row r="20" spans="1:8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2">
        <v>0</v>
      </c>
      <c r="G20" s="3">
        <f t="shared" si="0"/>
        <v>0</v>
      </c>
      <c r="H20" s="3">
        <f t="shared" si="1"/>
        <v>0</v>
      </c>
    </row>
    <row r="21" spans="1:8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2">
        <v>0</v>
      </c>
      <c r="G21" s="3">
        <f t="shared" si="0"/>
        <v>0</v>
      </c>
      <c r="H21" s="3">
        <f t="shared" si="1"/>
        <v>0</v>
      </c>
    </row>
    <row r="22" spans="1:8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2">
        <v>0</v>
      </c>
      <c r="G22" s="3">
        <f t="shared" si="0"/>
        <v>0</v>
      </c>
      <c r="H22" s="3">
        <f t="shared" si="1"/>
        <v>0</v>
      </c>
    </row>
    <row r="23" spans="1:8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2">
        <v>0</v>
      </c>
      <c r="G23" s="3">
        <f t="shared" si="0"/>
        <v>0</v>
      </c>
      <c r="H23" s="3">
        <f t="shared" si="1"/>
        <v>0</v>
      </c>
    </row>
    <row r="24" spans="1:8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2">
        <v>0</v>
      </c>
      <c r="G24" s="3">
        <f t="shared" si="0"/>
        <v>0</v>
      </c>
      <c r="H24" s="3">
        <f t="shared" si="1"/>
        <v>0</v>
      </c>
    </row>
    <row r="25" spans="1:8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2">
        <v>0</v>
      </c>
      <c r="G25" s="3">
        <f t="shared" si="0"/>
        <v>0</v>
      </c>
      <c r="H25" s="3">
        <f t="shared" si="1"/>
        <v>0</v>
      </c>
    </row>
    <row r="26" spans="1:8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2">
        <v>0</v>
      </c>
      <c r="G26" s="3">
        <f t="shared" si="0"/>
        <v>0</v>
      </c>
      <c r="H26" s="3">
        <f t="shared" si="1"/>
        <v>0</v>
      </c>
    </row>
    <row r="27" spans="1:8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2">
        <v>0</v>
      </c>
      <c r="G27" s="3">
        <f t="shared" si="0"/>
        <v>0</v>
      </c>
      <c r="H27" s="3">
        <f t="shared" si="1"/>
        <v>0</v>
      </c>
    </row>
    <row r="28" spans="1:8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2">
        <v>0</v>
      </c>
      <c r="G28" s="3">
        <f t="shared" si="0"/>
        <v>0</v>
      </c>
      <c r="H28" s="3">
        <f t="shared" si="1"/>
        <v>0</v>
      </c>
    </row>
    <row r="29" spans="1:8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2">
        <v>0</v>
      </c>
      <c r="G29" s="3">
        <f t="shared" si="0"/>
        <v>0</v>
      </c>
      <c r="H29" s="3">
        <f t="shared" si="1"/>
        <v>0</v>
      </c>
    </row>
    <row r="30" spans="1:8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2">
        <v>0</v>
      </c>
      <c r="G30" s="3">
        <f t="shared" si="0"/>
        <v>0</v>
      </c>
      <c r="H30" s="3">
        <f t="shared" si="1"/>
        <v>0</v>
      </c>
    </row>
    <row r="31" spans="1:8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2">
        <v>0</v>
      </c>
      <c r="G31" s="3">
        <f t="shared" si="0"/>
        <v>0</v>
      </c>
      <c r="H31" s="3">
        <f t="shared" si="1"/>
        <v>0</v>
      </c>
    </row>
    <row r="32" spans="1:8" x14ac:dyDescent="0.3">
      <c r="A32" s="3">
        <v>23</v>
      </c>
      <c r="B32" s="3" t="s">
        <v>33</v>
      </c>
      <c r="C32" s="2">
        <v>0</v>
      </c>
      <c r="D32" s="2">
        <v>0</v>
      </c>
      <c r="E32" s="2">
        <v>0</v>
      </c>
      <c r="F32" s="2">
        <v>0</v>
      </c>
      <c r="G32" s="3">
        <f t="shared" si="0"/>
        <v>0</v>
      </c>
      <c r="H32" s="3">
        <f t="shared" si="1"/>
        <v>0</v>
      </c>
    </row>
    <row r="33" spans="1:8" x14ac:dyDescent="0.3">
      <c r="A33" s="3">
        <v>24</v>
      </c>
      <c r="B33" s="3" t="s">
        <v>34</v>
      </c>
      <c r="C33" s="2">
        <v>0</v>
      </c>
      <c r="D33" s="2">
        <v>0</v>
      </c>
      <c r="E33" s="2">
        <v>0</v>
      </c>
      <c r="F33" s="2">
        <v>0</v>
      </c>
      <c r="G33" s="3">
        <f t="shared" si="0"/>
        <v>0</v>
      </c>
      <c r="H33" s="3">
        <f t="shared" si="1"/>
        <v>0</v>
      </c>
    </row>
    <row r="34" spans="1:8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2">
        <v>0</v>
      </c>
      <c r="G34" s="3">
        <f t="shared" si="0"/>
        <v>0</v>
      </c>
      <c r="H34" s="3">
        <f t="shared" si="1"/>
        <v>0</v>
      </c>
    </row>
    <row r="35" spans="1:8" x14ac:dyDescent="0.3">
      <c r="A35" s="3">
        <v>26</v>
      </c>
      <c r="B35" s="3" t="s">
        <v>36</v>
      </c>
      <c r="C35" s="2">
        <v>0</v>
      </c>
      <c r="D35" s="2">
        <v>0</v>
      </c>
      <c r="E35" s="2">
        <v>0</v>
      </c>
      <c r="F35" s="2">
        <v>0</v>
      </c>
      <c r="G35" s="3">
        <f t="shared" si="0"/>
        <v>0</v>
      </c>
      <c r="H35" s="3">
        <f t="shared" si="1"/>
        <v>0</v>
      </c>
    </row>
    <row r="36" spans="1:8" x14ac:dyDescent="0.3">
      <c r="A36" s="3">
        <v>27</v>
      </c>
      <c r="B36" s="3" t="s">
        <v>37</v>
      </c>
      <c r="C36" s="2">
        <v>0</v>
      </c>
      <c r="D36" s="2">
        <v>0</v>
      </c>
      <c r="E36" s="2">
        <v>0</v>
      </c>
      <c r="F36" s="2">
        <v>0</v>
      </c>
      <c r="G36" s="3">
        <f t="shared" si="0"/>
        <v>0</v>
      </c>
      <c r="H36" s="3">
        <f t="shared" si="1"/>
        <v>0</v>
      </c>
    </row>
    <row r="37" spans="1:8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2">
        <v>0</v>
      </c>
      <c r="G37" s="3">
        <f t="shared" si="0"/>
        <v>0</v>
      </c>
      <c r="H37" s="3">
        <f t="shared" si="1"/>
        <v>0</v>
      </c>
    </row>
    <row r="38" spans="1:8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2">
        <v>0</v>
      </c>
      <c r="G38" s="3">
        <f t="shared" si="0"/>
        <v>0</v>
      </c>
      <c r="H38" s="3">
        <f t="shared" si="1"/>
        <v>0</v>
      </c>
    </row>
    <row r="39" spans="1:8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2">
        <v>0</v>
      </c>
      <c r="G39" s="3">
        <f t="shared" si="0"/>
        <v>0</v>
      </c>
      <c r="H39" s="3">
        <f t="shared" si="1"/>
        <v>0</v>
      </c>
    </row>
    <row r="40" spans="1:8" x14ac:dyDescent="0.3">
      <c r="A40" s="3">
        <v>31</v>
      </c>
      <c r="B40" s="3" t="s">
        <v>41</v>
      </c>
      <c r="C40" s="2">
        <v>0</v>
      </c>
      <c r="D40" s="2">
        <v>0</v>
      </c>
      <c r="E40" s="2">
        <v>0</v>
      </c>
      <c r="F40" s="2">
        <v>0</v>
      </c>
      <c r="G40" s="3">
        <f t="shared" si="0"/>
        <v>0</v>
      </c>
      <c r="H40" s="3">
        <f t="shared" si="1"/>
        <v>0</v>
      </c>
    </row>
    <row r="41" spans="1:8" x14ac:dyDescent="0.3">
      <c r="A41" s="3">
        <v>32</v>
      </c>
      <c r="B41" s="3" t="s">
        <v>42</v>
      </c>
      <c r="C41" s="2">
        <v>0</v>
      </c>
      <c r="D41" s="2">
        <v>0</v>
      </c>
      <c r="E41" s="2">
        <v>0</v>
      </c>
      <c r="F41" s="2">
        <v>0</v>
      </c>
      <c r="G41" s="3">
        <f t="shared" si="0"/>
        <v>0</v>
      </c>
      <c r="H41" s="3">
        <f t="shared" si="1"/>
        <v>0</v>
      </c>
    </row>
    <row r="42" spans="1:8" x14ac:dyDescent="0.3">
      <c r="A42" s="3">
        <v>33</v>
      </c>
      <c r="B42" s="3" t="s">
        <v>43</v>
      </c>
      <c r="C42" s="2">
        <v>0</v>
      </c>
      <c r="D42" s="2">
        <v>0</v>
      </c>
      <c r="E42" s="2">
        <v>0</v>
      </c>
      <c r="F42" s="2">
        <v>0</v>
      </c>
      <c r="G42" s="3">
        <f t="shared" ref="G42:G61" si="2">SUM(C42:F42)</f>
        <v>0</v>
      </c>
      <c r="H42" s="3">
        <f t="shared" si="1"/>
        <v>0</v>
      </c>
    </row>
    <row r="43" spans="1:8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2">
        <v>0</v>
      </c>
      <c r="G43" s="3">
        <f t="shared" si="2"/>
        <v>0</v>
      </c>
      <c r="H43" s="3">
        <f t="shared" ref="H43:H61" si="3">G43+H42</f>
        <v>0</v>
      </c>
    </row>
    <row r="44" spans="1:8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2">
        <v>0</v>
      </c>
      <c r="G44" s="3">
        <f t="shared" si="2"/>
        <v>0</v>
      </c>
      <c r="H44" s="3">
        <f t="shared" si="3"/>
        <v>0</v>
      </c>
    </row>
    <row r="45" spans="1:8" x14ac:dyDescent="0.3">
      <c r="A45" s="3">
        <v>36</v>
      </c>
      <c r="B45" s="3" t="s">
        <v>46</v>
      </c>
      <c r="C45" s="2">
        <v>0</v>
      </c>
      <c r="D45" s="2">
        <v>0</v>
      </c>
      <c r="E45" s="2">
        <v>0</v>
      </c>
      <c r="F45" s="2">
        <v>0</v>
      </c>
      <c r="G45" s="3">
        <f t="shared" si="2"/>
        <v>0</v>
      </c>
      <c r="H45" s="3">
        <f t="shared" si="3"/>
        <v>0</v>
      </c>
    </row>
    <row r="46" spans="1:8" x14ac:dyDescent="0.3">
      <c r="A46" s="3">
        <v>37</v>
      </c>
      <c r="B46" s="3" t="s">
        <v>47</v>
      </c>
      <c r="C46" s="2">
        <v>0</v>
      </c>
      <c r="D46" s="2">
        <v>0</v>
      </c>
      <c r="E46" s="2">
        <v>0</v>
      </c>
      <c r="F46" s="2">
        <v>0</v>
      </c>
      <c r="G46" s="3">
        <f t="shared" si="2"/>
        <v>0</v>
      </c>
      <c r="H46" s="3">
        <f t="shared" si="3"/>
        <v>0</v>
      </c>
    </row>
    <row r="47" spans="1:8" x14ac:dyDescent="0.3">
      <c r="A47" s="3">
        <v>38</v>
      </c>
      <c r="B47" s="3" t="s">
        <v>48</v>
      </c>
      <c r="C47" s="2">
        <v>0</v>
      </c>
      <c r="D47" s="2">
        <v>0</v>
      </c>
      <c r="E47" s="2">
        <v>0</v>
      </c>
      <c r="F47" s="2">
        <v>0</v>
      </c>
      <c r="G47" s="3">
        <f t="shared" si="2"/>
        <v>0</v>
      </c>
      <c r="H47" s="3">
        <f t="shared" si="3"/>
        <v>0</v>
      </c>
    </row>
    <row r="48" spans="1:8" x14ac:dyDescent="0.3">
      <c r="A48" s="3">
        <v>39</v>
      </c>
      <c r="B48" s="3" t="s">
        <v>49</v>
      </c>
      <c r="C48" s="2">
        <v>0</v>
      </c>
      <c r="D48" s="2">
        <v>0</v>
      </c>
      <c r="E48" s="2">
        <v>0</v>
      </c>
      <c r="F48" s="2">
        <v>0</v>
      </c>
      <c r="G48" s="3">
        <f t="shared" si="2"/>
        <v>0</v>
      </c>
      <c r="H48" s="3">
        <f t="shared" si="3"/>
        <v>0</v>
      </c>
    </row>
    <row r="49" spans="1:8" x14ac:dyDescent="0.3">
      <c r="A49" s="3">
        <v>40</v>
      </c>
      <c r="B49" s="3" t="s">
        <v>50</v>
      </c>
      <c r="C49" s="2">
        <v>0</v>
      </c>
      <c r="D49" s="2">
        <v>0</v>
      </c>
      <c r="E49" s="2">
        <v>0</v>
      </c>
      <c r="F49" s="2">
        <v>0</v>
      </c>
      <c r="G49" s="3">
        <f t="shared" si="2"/>
        <v>0</v>
      </c>
      <c r="H49" s="3">
        <f t="shared" si="3"/>
        <v>0</v>
      </c>
    </row>
    <row r="50" spans="1:8" x14ac:dyDescent="0.3">
      <c r="A50" s="3">
        <v>41</v>
      </c>
      <c r="B50" s="3" t="s">
        <v>51</v>
      </c>
      <c r="C50" s="2">
        <v>0</v>
      </c>
      <c r="D50" s="2">
        <v>0</v>
      </c>
      <c r="E50" s="2">
        <v>0</v>
      </c>
      <c r="F50" s="2">
        <v>0</v>
      </c>
      <c r="G50" s="3">
        <f t="shared" si="2"/>
        <v>0</v>
      </c>
      <c r="H50" s="3">
        <f t="shared" si="3"/>
        <v>0</v>
      </c>
    </row>
    <row r="51" spans="1:8" x14ac:dyDescent="0.3">
      <c r="A51" s="3">
        <v>42</v>
      </c>
      <c r="B51" s="3" t="s">
        <v>52</v>
      </c>
      <c r="C51" s="2">
        <v>0</v>
      </c>
      <c r="D51" s="2">
        <v>0</v>
      </c>
      <c r="E51" s="2">
        <v>0</v>
      </c>
      <c r="F51" s="2">
        <v>0</v>
      </c>
      <c r="G51" s="3">
        <f t="shared" si="2"/>
        <v>0</v>
      </c>
      <c r="H51" s="3">
        <f t="shared" si="3"/>
        <v>0</v>
      </c>
    </row>
    <row r="52" spans="1:8" x14ac:dyDescent="0.3">
      <c r="A52" s="3">
        <v>43</v>
      </c>
      <c r="B52" s="3" t="s">
        <v>53</v>
      </c>
      <c r="C52" s="2">
        <v>0</v>
      </c>
      <c r="D52" s="2">
        <v>0</v>
      </c>
      <c r="E52" s="2">
        <v>0</v>
      </c>
      <c r="F52" s="2">
        <v>0</v>
      </c>
      <c r="G52" s="3">
        <f t="shared" si="2"/>
        <v>0</v>
      </c>
      <c r="H52" s="3">
        <f t="shared" si="3"/>
        <v>0</v>
      </c>
    </row>
    <row r="53" spans="1:8" x14ac:dyDescent="0.3">
      <c r="A53" s="3">
        <v>44</v>
      </c>
      <c r="B53" s="3" t="s">
        <v>54</v>
      </c>
      <c r="C53" s="2">
        <v>0</v>
      </c>
      <c r="D53" s="2">
        <v>0</v>
      </c>
      <c r="E53" s="2">
        <v>0</v>
      </c>
      <c r="F53" s="2">
        <v>0</v>
      </c>
      <c r="G53" s="3">
        <f t="shared" si="2"/>
        <v>0</v>
      </c>
      <c r="H53" s="3">
        <f t="shared" si="3"/>
        <v>0</v>
      </c>
    </row>
    <row r="54" spans="1:8" x14ac:dyDescent="0.3">
      <c r="A54" s="3">
        <v>45</v>
      </c>
      <c r="B54" s="3" t="s">
        <v>55</v>
      </c>
      <c r="C54" s="2">
        <v>0</v>
      </c>
      <c r="D54" s="2">
        <v>0</v>
      </c>
      <c r="E54" s="2">
        <v>0</v>
      </c>
      <c r="F54" s="2">
        <v>0</v>
      </c>
      <c r="G54" s="3">
        <f t="shared" si="2"/>
        <v>0</v>
      </c>
      <c r="H54" s="3">
        <f t="shared" si="3"/>
        <v>0</v>
      </c>
    </row>
    <row r="55" spans="1:8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2">
        <v>0</v>
      </c>
      <c r="G55" s="3">
        <f t="shared" si="2"/>
        <v>0</v>
      </c>
      <c r="H55" s="3">
        <f t="shared" si="3"/>
        <v>0</v>
      </c>
    </row>
    <row r="56" spans="1:8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2">
        <v>0</v>
      </c>
      <c r="G56" s="3">
        <f t="shared" si="2"/>
        <v>0</v>
      </c>
      <c r="H56" s="3">
        <f t="shared" si="3"/>
        <v>0</v>
      </c>
    </row>
    <row r="57" spans="1:8" x14ac:dyDescent="0.3">
      <c r="A57" s="3">
        <v>48</v>
      </c>
      <c r="B57" s="3" t="s">
        <v>58</v>
      </c>
      <c r="C57" s="2">
        <v>0</v>
      </c>
      <c r="D57" s="2">
        <v>0</v>
      </c>
      <c r="E57" s="2">
        <v>0</v>
      </c>
      <c r="F57" s="2">
        <v>0</v>
      </c>
      <c r="G57" s="3">
        <f t="shared" si="2"/>
        <v>0</v>
      </c>
      <c r="H57" s="3">
        <f t="shared" si="3"/>
        <v>0</v>
      </c>
    </row>
    <row r="58" spans="1:8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2">
        <v>0</v>
      </c>
      <c r="G58" s="3">
        <f t="shared" si="2"/>
        <v>0</v>
      </c>
      <c r="H58" s="3">
        <f t="shared" si="3"/>
        <v>0</v>
      </c>
    </row>
    <row r="59" spans="1:8" x14ac:dyDescent="0.3">
      <c r="A59" s="3">
        <v>50</v>
      </c>
      <c r="B59" s="3" t="s">
        <v>60</v>
      </c>
      <c r="C59" s="2">
        <v>0</v>
      </c>
      <c r="D59" s="2">
        <v>0</v>
      </c>
      <c r="E59" s="2">
        <v>0</v>
      </c>
      <c r="F59" s="2">
        <v>0</v>
      </c>
      <c r="G59" s="3">
        <f t="shared" si="2"/>
        <v>0</v>
      </c>
      <c r="H59" s="3">
        <f t="shared" si="3"/>
        <v>0</v>
      </c>
    </row>
    <row r="60" spans="1:8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2">
        <v>0</v>
      </c>
      <c r="G60" s="3">
        <f t="shared" si="2"/>
        <v>0</v>
      </c>
      <c r="H60" s="3">
        <f t="shared" si="3"/>
        <v>0</v>
      </c>
    </row>
    <row r="61" spans="1:8" x14ac:dyDescent="0.3">
      <c r="A61" s="3">
        <v>52</v>
      </c>
      <c r="B61" s="3" t="s">
        <v>62</v>
      </c>
      <c r="C61" s="2">
        <v>0</v>
      </c>
      <c r="D61" s="2">
        <v>0</v>
      </c>
      <c r="E61" s="2">
        <v>0</v>
      </c>
      <c r="F61" s="2">
        <v>0</v>
      </c>
      <c r="G61" s="3">
        <f t="shared" si="2"/>
        <v>0</v>
      </c>
      <c r="H61" s="3">
        <f t="shared" si="3"/>
        <v>0</v>
      </c>
    </row>
    <row r="62" spans="1:8" x14ac:dyDescent="0.3">
      <c r="A62" s="3" t="s">
        <v>2</v>
      </c>
      <c r="B62" s="3" t="s">
        <v>63</v>
      </c>
      <c r="C62" s="3">
        <f>SUM(C10:C61)</f>
        <v>0</v>
      </c>
      <c r="D62" s="3">
        <f>SUM(D10:D61)</f>
        <v>0</v>
      </c>
      <c r="E62" s="3">
        <f>SUM(E10:E61)</f>
        <v>0</v>
      </c>
      <c r="F62" s="3">
        <f>SUM(F10:F61)</f>
        <v>0</v>
      </c>
      <c r="G62" s="3">
        <f>SUM(G10:G61)</f>
        <v>0</v>
      </c>
      <c r="H62" s="3"/>
    </row>
  </sheetData>
  <mergeCells count="3">
    <mergeCell ref="A6:H6"/>
    <mergeCell ref="A7:H7"/>
    <mergeCell ref="A8:H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149517-eeaa-465d-b3b6-396a1e23bc6e" xsi:nil="true"/>
    <lcf76f155ced4ddcb4097134ff3c332f xmlns="3fe4ae0e-3af2-48f1-b2fd-da4a302e5e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9E1BB1-020B-4028-BFC2-BF9AE363921C}"/>
</file>

<file path=customXml/itemProps2.xml><?xml version="1.0" encoding="utf-8"?>
<ds:datastoreItem xmlns:ds="http://schemas.openxmlformats.org/officeDocument/2006/customXml" ds:itemID="{60AC25EC-170E-41FA-9586-A3C50C578219}"/>
</file>

<file path=customXml/itemProps3.xml><?xml version="1.0" encoding="utf-8"?>
<ds:datastoreItem xmlns:ds="http://schemas.openxmlformats.org/officeDocument/2006/customXml" ds:itemID="{E099D6BC-6E94-4630-B0E5-E4FAA2BEA4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RSA EXPORTS</vt:lpstr>
      <vt:lpstr>IMPORTS FOR RSA</vt:lpstr>
      <vt:lpstr>IMPORTS FOR OTHER COUNTRIES</vt:lpstr>
      <vt:lpstr>EXPORTS OF IMPORTED WHEAT</vt:lpstr>
      <vt:lpstr>IMPORTS PER HARBOUR</vt:lpstr>
      <vt:lpstr>EXPORT PER HARBOUR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 Willemse</dc:creator>
  <cp:lastModifiedBy>Sumai Willemse</cp:lastModifiedBy>
  <dcterms:created xsi:type="dcterms:W3CDTF">2025-11-27T07:49:02Z</dcterms:created>
  <dcterms:modified xsi:type="dcterms:W3CDTF">2025-11-27T08:06:51Z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0x01010075ECE796D7EABA42BC0DB2CA73C7CE00</vt:lpwstr>
  </property>
  <property fmtid="{D5CDD505-2E9C-101B-9397-08002B2CF9AE}" pid="3" name="MediaServiceImageTags">
    <vt:lpwstr/>
  </property>
</Properties>
</file>