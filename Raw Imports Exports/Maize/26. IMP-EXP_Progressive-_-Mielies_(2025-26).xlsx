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Weekliks\In-en Uitvoere\Mielies\"/>
    </mc:Choice>
  </mc:AlternateContent>
  <xr:revisionPtr revIDLastSave="0" documentId="8_{939F76B9-36B8-43EC-9C6A-D35272E6C78C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White RSA EXPORTS" sheetId="1" r:id="rId1"/>
    <sheet name="YELLOW RSA EXPORTS" sheetId="2" r:id="rId2"/>
    <sheet name="White IMPORTS FOR RSA" sheetId="3" r:id="rId3"/>
    <sheet name="Yellow IMPORTS FOR RSA" sheetId="4" r:id="rId4"/>
    <sheet name="White IMPORTS FOR OTHER COUNTRI" sheetId="5" r:id="rId5"/>
    <sheet name="YELLOW IMPORTS FOR OTHER COUNTR" sheetId="6" r:id="rId6"/>
    <sheet name="WHITE EXPORTS OF IMPORTED MAIZE" sheetId="7" r:id="rId7"/>
    <sheet name="YELLOW EXPORTS OF IMPORTED MAIZ" sheetId="8" r:id="rId8"/>
    <sheet name="White IMPORTS PER HARBOUR" sheetId="9" r:id="rId9"/>
    <sheet name="Yellow IMPORTS PER HARBOUR" sheetId="10" r:id="rId10"/>
    <sheet name="White EXPORT PER HARBOUR" sheetId="11" r:id="rId11"/>
    <sheet name="Yellow EXPORT PER HARBOU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2" l="1"/>
  <c r="D61" i="12"/>
  <c r="C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E61" i="11"/>
  <c r="D61" i="11"/>
  <c r="C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E61" i="10"/>
  <c r="D61" i="10"/>
  <c r="C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G10" i="10" s="1"/>
  <c r="G11" i="10" s="1"/>
  <c r="E61" i="9"/>
  <c r="D61" i="9"/>
  <c r="C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D10" i="8" s="1"/>
  <c r="D61" i="7"/>
  <c r="C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F10" i="7" s="1"/>
  <c r="F11" i="7" s="1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D10" i="6" s="1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D10" i="5" s="1"/>
  <c r="C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E10" i="4" s="1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D10" i="3" s="1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I61" i="1"/>
  <c r="H61" i="1"/>
  <c r="G61" i="1"/>
  <c r="F61" i="1"/>
  <c r="E61" i="1"/>
  <c r="D61" i="1"/>
  <c r="C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K10" i="1" s="1"/>
  <c r="D12" i="8" l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11" i="8"/>
  <c r="F12" i="7"/>
  <c r="D11" i="3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C61" i="3"/>
  <c r="K11" i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J61" i="1"/>
  <c r="F61" i="10"/>
  <c r="C61" i="8"/>
  <c r="F61" i="11"/>
  <c r="G10" i="1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59" i="11" s="1"/>
  <c r="G60" i="11" s="1"/>
  <c r="C61" i="6"/>
  <c r="D11" i="6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G14" i="10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D61" i="4"/>
  <c r="C61" i="5"/>
  <c r="G11" i="12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F61" i="9"/>
  <c r="G10" i="9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12" i="10"/>
  <c r="G13" i="10" s="1"/>
  <c r="F13" i="7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P61" i="2"/>
  <c r="Q10" i="2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D11" i="5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E11" i="4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7"/>
  <c r="F61" i="12"/>
  <c r="G10" i="12"/>
</calcChain>
</file>

<file path=xl/sharedStrings.xml><?xml version="1.0" encoding="utf-8"?>
<sst xmlns="http://schemas.openxmlformats.org/spreadsheetml/2006/main" count="747" uniqueCount="103">
  <si>
    <t>WHITE MAIZE: RSA EXPORTS - 2025/26 SEASON</t>
  </si>
  <si>
    <t>WITMIELIES: RSA UITVOERE - 2025/26 SEISOEN</t>
  </si>
  <si>
    <t/>
  </si>
  <si>
    <t>Week</t>
  </si>
  <si>
    <t>BOTSWANA</t>
  </si>
  <si>
    <t>ESWATINI (SWAZILAND)</t>
  </si>
  <si>
    <t>LESOTHO</t>
  </si>
  <si>
    <t>MOZAMBIQUE</t>
  </si>
  <si>
    <t>NAMIBIA</t>
  </si>
  <si>
    <t>VENEZUELA</t>
  </si>
  <si>
    <t>ZIMBABWE</t>
  </si>
  <si>
    <t>26 Apr - 02 May/Mei 2025</t>
  </si>
  <si>
    <t>03 May/Mei - 09 May/Mei 2025</t>
  </si>
  <si>
    <t>10 May/Mei - 16 May/Mei 2025</t>
  </si>
  <si>
    <t>17 May/Mei - 23 May/Mei 2025</t>
  </si>
  <si>
    <t>24 May/Mei - 30 May/Mei 2025</t>
  </si>
  <si>
    <t>31 May/Mei - 06 Jun 2025</t>
  </si>
  <si>
    <t>07 Jun - 13 Jun 2025</t>
  </si>
  <si>
    <t>14 Jun - 20 Jun 2025</t>
  </si>
  <si>
    <t>21 Jun - 27 Jun 2025</t>
  </si>
  <si>
    <t>28 Jun - 04 Jul 2025</t>
  </si>
  <si>
    <t>05 Jul - 11 Jul 2025</t>
  </si>
  <si>
    <t>12 Jul - 18 Jul 2025</t>
  </si>
  <si>
    <t>19 Jul - 25 Jul 2025</t>
  </si>
  <si>
    <t>26 Jul - 01 Aug 2025</t>
  </si>
  <si>
    <t>02 Aug - 08 Aug 2025</t>
  </si>
  <si>
    <t>09 Aug - 15 Aug 2025</t>
  </si>
  <si>
    <t>16 Aug - 22 Aug 2025</t>
  </si>
  <si>
    <t>23 Aug - 29 Aug 2025</t>
  </si>
  <si>
    <t>30 Aug - 05 Sep 2025</t>
  </si>
  <si>
    <t>06 Sep - 12 Sep 2025</t>
  </si>
  <si>
    <t>13 Sep - 19 Sep 2025</t>
  </si>
  <si>
    <t>20 Sep - 26 Sep 2025</t>
  </si>
  <si>
    <t>27 Sep - 03 Oct/Okt 2025</t>
  </si>
  <si>
    <t>04 Oct/Okt - 10 Oct/Okt 2025</t>
  </si>
  <si>
    <t>11 Oct/Okt - 17 Oct/Okt 2025</t>
  </si>
  <si>
    <t>18 Oct/Okt - 24 Oct/Okt 2025</t>
  </si>
  <si>
    <t>25 Oct/Okt - 31 Oct/Okt 2025</t>
  </si>
  <si>
    <t>01 Nov - 07 Nov 2025</t>
  </si>
  <si>
    <t>08 Nov - 14 Nov 2025</t>
  </si>
  <si>
    <t>15 Nov - 21 Nov 2025</t>
  </si>
  <si>
    <t>22 Nov - 28 Nov 2025</t>
  </si>
  <si>
    <t>29 Nov - 05 Dec/Des 2025</t>
  </si>
  <si>
    <t>06 Dec/Des - 12 Dec/Des 2025</t>
  </si>
  <si>
    <t>13 Dec/Des - 19 Dec/Des 2025</t>
  </si>
  <si>
    <t>20 Dec/Des - 26 Dec/Des 2025</t>
  </si>
  <si>
    <t>27 Dec/Des - 02 Jan 2026</t>
  </si>
  <si>
    <t>03 Jan - 09 Jan 2026</t>
  </si>
  <si>
    <t>10 Jan - 16 Jan 2026</t>
  </si>
  <si>
    <t>17 Jan - 23 Jan 2026</t>
  </si>
  <si>
    <t>24 Jan - 30 Jan 2026</t>
  </si>
  <si>
    <t>31 Jan - 06 Feb 2026</t>
  </si>
  <si>
    <t>07 Feb - 13 Feb 2026</t>
  </si>
  <si>
    <t>14 Feb - 20 Feb 2026</t>
  </si>
  <si>
    <t>21 Feb - 27 Feb 2026</t>
  </si>
  <si>
    <t>28 Feb - 06 Mar 2026</t>
  </si>
  <si>
    <t>07 Mar - 13 Mar 2026</t>
  </si>
  <si>
    <t>14 Mar - 20 Mar 2026</t>
  </si>
  <si>
    <t>21 Mar - 27 Mar 2026</t>
  </si>
  <si>
    <t>28 Mar - 03 Apr 2026</t>
  </si>
  <si>
    <t>04 Apr - 10 Apr 2026</t>
  </si>
  <si>
    <t>11 Apr - 17 Apr 2026</t>
  </si>
  <si>
    <t>Total</t>
  </si>
  <si>
    <t>YELLOW MAIZE: RSA EXPORTS - 2025/26 SEASON</t>
  </si>
  <si>
    <t>GEELMIELIES: RSA UITVOERE - 2025/26 SEISOEN</t>
  </si>
  <si>
    <t>FRANCE</t>
  </si>
  <si>
    <t>KOREA, REP OF</t>
  </si>
  <si>
    <t>MADAGASCAR</t>
  </si>
  <si>
    <t>MAURITIUS</t>
  </si>
  <si>
    <t>SRI LANKA</t>
  </si>
  <si>
    <t>TAIWAN, PROV OF CHINA</t>
  </si>
  <si>
    <t>VIETNAM</t>
  </si>
  <si>
    <t>WHITE MAIZE: WEEKLY IMPORTS FOR RSA - 2025/26 SEASON</t>
  </si>
  <si>
    <t>WITMIELIES: WEEKLIKSE INVOERE VIR RSA - 2025/26 SEISOEN</t>
  </si>
  <si>
    <t>YELLOW MAIZE: WEEKLY IMPORTS FOR RSA - 2025/26 SEASON</t>
  </si>
  <si>
    <t>GEELMIELIES: WEEKLIKSE INVOERE VIR RSA - 2025/26 SEISOEN</t>
  </si>
  <si>
    <t>ARGENTINA</t>
  </si>
  <si>
    <t>WHITE MAIZE: WEEKLY IMPORTS FOR OTHER COUNTRIES - 2025/26 SEASON</t>
  </si>
  <si>
    <t>WITMIELIES: WEEKLIKSE INVOERE VIR ANDER LANDE - 2025/26 SEISOEN</t>
  </si>
  <si>
    <t>YELLOW MAIZE: WEEKLY IMPORTS FOR OTHER COUNTRIES - 2025/26 SEASON</t>
  </si>
  <si>
    <t>GEELMIELIES: WEEKLIKSE INVOERE VIR ANDER LANDE - 2025/26 SEISOEN</t>
  </si>
  <si>
    <t>WHITE MAIZE: EXPORTS OF IMPORTED MAIZE - 2025/26 SEASON</t>
  </si>
  <si>
    <t>WITMIELIES: UITVOERE VAN INGEVOERDE MIELIES - 2025/26 SEISOEN</t>
  </si>
  <si>
    <t>YELLOW MAIZE: EXPORTS OF IMPORTED MAIZE - 2025/26 SEASON</t>
  </si>
  <si>
    <t>GEELMIELIES: UITVOERE VAN INGEVOERDE MIELIES - 2025/26 SEISOEN</t>
  </si>
  <si>
    <t>WHITE MAIZE: WEEKLY IMPORT PER HARBOUR - 2025/26 SEASON</t>
  </si>
  <si>
    <t>WITMIELIES: WEEKLIKSE INVOER PER HAWE - 2025/26 SEISOEN</t>
  </si>
  <si>
    <t>Cape Town</t>
  </si>
  <si>
    <t>Durban</t>
  </si>
  <si>
    <t>Port Elizabeth</t>
  </si>
  <si>
    <t>YELLOW MAIZE: WEEKLY IMPORT PER HARBOUR - 2025/26 SEASON</t>
  </si>
  <si>
    <t>GEELMIELIES: WEEKLIKSE INVOER PER HAWE - 2025/26 SEISOEN</t>
  </si>
  <si>
    <t>WHITE MAIZE: WEEKLY EXPORT PER HARBOUR - 2025/26 SEASON</t>
  </si>
  <si>
    <t>WITMIELIES: WEEKLIKSE UITVOER PER HAWE - 2025/26 SEISOEN</t>
  </si>
  <si>
    <t>YELLOW MAIZE: WEEKLY EXPORT PER HARBOUR - 2025/26 SEASON</t>
  </si>
  <si>
    <t>GEELMIELIES: WEEKLIKSE UITVOER PER HAWE - 2025/26 SEISOEN</t>
  </si>
  <si>
    <t>Week Total/Totaal</t>
  </si>
  <si>
    <t>Progressive Total/Totaal</t>
  </si>
  <si>
    <t>*Week Total/Totaal</t>
  </si>
  <si>
    <t>*Progressive Total/Totaal</t>
  </si>
  <si>
    <t>*Total</t>
  </si>
  <si>
    <t xml:space="preserve">* Includes: Imports for RSA and other Countries </t>
  </si>
  <si>
    <t xml:space="preserve">* Sluit in: Invoere vir RSA en ander lande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</si>
</sst>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434340</xdr:colOff>
      <xdr:row>4</xdr:row>
      <xdr:rowOff>17145</xdr:rowOff>
    </xdr:to>
    <xdr:pic>
      <xdr:nvPicPr>
        <xdr:cNvPr id="2" name="LogoWhite RSA EXPORT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495300</xdr:colOff>
      <xdr:row>4</xdr:row>
      <xdr:rowOff>17145</xdr:rowOff>
    </xdr:to>
    <xdr:pic>
      <xdr:nvPicPr>
        <xdr:cNvPr id="2" name="LogoYELLOW RSA EXPORT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3</xdr:col>
      <xdr:colOff>1663065</xdr:colOff>
      <xdr:row>4</xdr:row>
      <xdr:rowOff>17145</xdr:rowOff>
    </xdr:to>
    <xdr:pic>
      <xdr:nvPicPr>
        <xdr:cNvPr id="2" name="LogoWhite IMPORTS FOR RS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4</xdr:col>
      <xdr:colOff>1215390</xdr:colOff>
      <xdr:row>4</xdr:row>
      <xdr:rowOff>17145</xdr:rowOff>
    </xdr:to>
    <xdr:pic>
      <xdr:nvPicPr>
        <xdr:cNvPr id="3" name="LogoYellow IMPORTS FOR RSA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3</xdr:col>
      <xdr:colOff>1691640</xdr:colOff>
      <xdr:row>4</xdr:row>
      <xdr:rowOff>17145</xdr:rowOff>
    </xdr:to>
    <xdr:pic>
      <xdr:nvPicPr>
        <xdr:cNvPr id="4" name="LogoWhite IMPORTS FOR OTHER COUNTRI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3</xdr:col>
      <xdr:colOff>1367790</xdr:colOff>
      <xdr:row>4</xdr:row>
      <xdr:rowOff>17145</xdr:rowOff>
    </xdr:to>
    <xdr:pic>
      <xdr:nvPicPr>
        <xdr:cNvPr id="5" name="LogoYELLOW IMPORTS FOR OTHER COUNTR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5</xdr:col>
      <xdr:colOff>76200</xdr:colOff>
      <xdr:row>4</xdr:row>
      <xdr:rowOff>17145</xdr:rowOff>
    </xdr:to>
    <xdr:pic>
      <xdr:nvPicPr>
        <xdr:cNvPr id="6" name="LogoWHITE EXPORTS OF IMPORTED MAIZ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3</xdr:col>
      <xdr:colOff>1805940</xdr:colOff>
      <xdr:row>4</xdr:row>
      <xdr:rowOff>17145</xdr:rowOff>
    </xdr:to>
    <xdr:pic>
      <xdr:nvPicPr>
        <xdr:cNvPr id="7" name="LogoYELLOW EXPORTS OF IMPORTED MAIZ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247650</xdr:colOff>
      <xdr:row>4</xdr:row>
      <xdr:rowOff>20955</xdr:rowOff>
    </xdr:to>
    <xdr:pic>
      <xdr:nvPicPr>
        <xdr:cNvPr id="8" name="LogoWhite IMPORTS PER HARBOUR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247650</xdr:colOff>
      <xdr:row>4</xdr:row>
      <xdr:rowOff>20955</xdr:rowOff>
    </xdr:to>
    <xdr:pic>
      <xdr:nvPicPr>
        <xdr:cNvPr id="9" name="LogoYellow IMPORTS PER HARBOUR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323850</xdr:colOff>
      <xdr:row>4</xdr:row>
      <xdr:rowOff>20955</xdr:rowOff>
    </xdr:to>
    <xdr:pic>
      <xdr:nvPicPr>
        <xdr:cNvPr id="10" name="LogoWhite EXPORT PER HARBOUR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6</xdr:col>
      <xdr:colOff>323850</xdr:colOff>
      <xdr:row>4</xdr:row>
      <xdr:rowOff>20955</xdr:rowOff>
    </xdr:to>
    <xdr:pic>
      <xdr:nvPicPr>
        <xdr:cNvPr id="11" name="LogoYellow EXPORT PER HARBOUR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K61"/>
  <sheetViews>
    <sheetView tabSelected="1"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2.77734375" customWidth="1"/>
    <col min="4" max="4" width="25.21875" customWidth="1"/>
    <col min="5" max="5" width="10.88671875" customWidth="1"/>
    <col min="6" max="6" width="15.6640625" customWidth="1"/>
    <col min="7" max="7" width="10.33203125" customWidth="1"/>
    <col min="8" max="8" width="13.5546875" customWidth="1"/>
    <col min="9" max="9" width="12.5546875" customWidth="1"/>
    <col min="10" max="11" width="39.6640625" customWidth="1"/>
  </cols>
  <sheetData>
    <row r="6" spans="1:11" ht="15.6" x14ac:dyDescent="0.3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ht="15.6" x14ac:dyDescent="0.3">
      <c r="A7" s="4" t="s">
        <v>1</v>
      </c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3">
      <c r="A8" s="7" t="s">
        <v>2</v>
      </c>
      <c r="B8" s="8"/>
      <c r="C8" s="8"/>
      <c r="D8" s="8"/>
      <c r="E8" s="8"/>
      <c r="F8" s="8"/>
      <c r="G8" s="8"/>
      <c r="H8" s="8"/>
      <c r="I8" s="8"/>
      <c r="J8" s="8"/>
      <c r="K8" s="9"/>
    </row>
    <row r="9" spans="1:11" x14ac:dyDescent="0.3">
      <c r="A9" s="1"/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96</v>
      </c>
      <c r="K9" s="1" t="s">
        <v>97</v>
      </c>
    </row>
    <row r="10" spans="1:11" x14ac:dyDescent="0.3">
      <c r="A10" s="3">
        <v>1</v>
      </c>
      <c r="B10" s="3" t="s">
        <v>11</v>
      </c>
      <c r="C10" s="2">
        <v>688</v>
      </c>
      <c r="D10" s="2">
        <v>512</v>
      </c>
      <c r="E10" s="2">
        <v>524</v>
      </c>
      <c r="F10" s="2">
        <v>322</v>
      </c>
      <c r="G10" s="2">
        <v>185</v>
      </c>
      <c r="H10" s="2">
        <v>0</v>
      </c>
      <c r="I10" s="2">
        <v>627</v>
      </c>
      <c r="J10" s="3">
        <f>SUM(C10:I10)</f>
        <v>2858</v>
      </c>
      <c r="K10" s="3">
        <f>J10</f>
        <v>2858</v>
      </c>
    </row>
    <row r="11" spans="1:11" x14ac:dyDescent="0.3">
      <c r="A11" s="3">
        <v>2</v>
      </c>
      <c r="B11" s="3" t="s">
        <v>12</v>
      </c>
      <c r="C11" s="2">
        <v>2070</v>
      </c>
      <c r="D11" s="2">
        <v>1349</v>
      </c>
      <c r="E11" s="2">
        <v>0</v>
      </c>
      <c r="F11" s="2">
        <v>0</v>
      </c>
      <c r="G11" s="2">
        <v>705</v>
      </c>
      <c r="H11" s="2">
        <v>0</v>
      </c>
      <c r="I11" s="2">
        <v>2478</v>
      </c>
      <c r="J11" s="3">
        <f>SUM(C11:I11)</f>
        <v>6602</v>
      </c>
      <c r="K11" s="3">
        <f t="shared" ref="K11:K42" si="0">J11+K10</f>
        <v>9460</v>
      </c>
    </row>
    <row r="12" spans="1:11" x14ac:dyDescent="0.3">
      <c r="A12" s="3">
        <v>3</v>
      </c>
      <c r="B12" s="3" t="s">
        <v>13</v>
      </c>
      <c r="C12" s="2">
        <v>2629</v>
      </c>
      <c r="D12" s="2">
        <v>1836</v>
      </c>
      <c r="E12" s="2">
        <v>178</v>
      </c>
      <c r="F12" s="2">
        <v>510</v>
      </c>
      <c r="G12" s="2">
        <v>707</v>
      </c>
      <c r="H12" s="2">
        <v>0</v>
      </c>
      <c r="I12" s="2">
        <v>2979</v>
      </c>
      <c r="J12" s="3">
        <f>SUM(C12:I12)</f>
        <v>8839</v>
      </c>
      <c r="K12" s="3">
        <f t="shared" si="0"/>
        <v>18299</v>
      </c>
    </row>
    <row r="13" spans="1:11" x14ac:dyDescent="0.3">
      <c r="A13" s="3">
        <v>4</v>
      </c>
      <c r="B13" s="3" t="s">
        <v>14</v>
      </c>
      <c r="C13" s="2">
        <v>1576</v>
      </c>
      <c r="D13" s="2">
        <v>1869</v>
      </c>
      <c r="E13" s="2">
        <v>1393</v>
      </c>
      <c r="F13" s="2">
        <v>540</v>
      </c>
      <c r="G13" s="2">
        <v>24</v>
      </c>
      <c r="H13" s="2">
        <v>0</v>
      </c>
      <c r="I13" s="2">
        <v>5772</v>
      </c>
      <c r="J13" s="3">
        <f>SUM(C13:I13)</f>
        <v>11174</v>
      </c>
      <c r="K13" s="3">
        <f t="shared" si="0"/>
        <v>29473</v>
      </c>
    </row>
    <row r="14" spans="1:11" x14ac:dyDescent="0.3">
      <c r="A14" s="3">
        <v>5</v>
      </c>
      <c r="B14" s="3" t="s">
        <v>15</v>
      </c>
      <c r="C14" s="2">
        <v>2472</v>
      </c>
      <c r="D14" s="2">
        <v>1261</v>
      </c>
      <c r="E14" s="2">
        <v>2146</v>
      </c>
      <c r="F14" s="2">
        <v>823</v>
      </c>
      <c r="G14" s="2">
        <v>233</v>
      </c>
      <c r="H14" s="2">
        <v>0</v>
      </c>
      <c r="I14" s="2">
        <v>7802</v>
      </c>
      <c r="J14" s="3">
        <f>SUM(C14:I14)</f>
        <v>14737</v>
      </c>
      <c r="K14" s="3">
        <f t="shared" si="0"/>
        <v>44210</v>
      </c>
    </row>
    <row r="15" spans="1:11" x14ac:dyDescent="0.3">
      <c r="A15" s="3">
        <v>6</v>
      </c>
      <c r="B15" s="3" t="s">
        <v>16</v>
      </c>
      <c r="C15" s="2">
        <v>3113</v>
      </c>
      <c r="D15" s="2">
        <v>1825</v>
      </c>
      <c r="E15" s="2">
        <v>1404</v>
      </c>
      <c r="F15" s="2">
        <v>107</v>
      </c>
      <c r="G15" s="2">
        <v>0</v>
      </c>
      <c r="H15" s="2">
        <v>0</v>
      </c>
      <c r="I15" s="2">
        <v>1633</v>
      </c>
      <c r="J15" s="3">
        <f>SUM(C15:I15)</f>
        <v>8082</v>
      </c>
      <c r="K15" s="3">
        <f t="shared" si="0"/>
        <v>52292</v>
      </c>
    </row>
    <row r="16" spans="1:11" x14ac:dyDescent="0.3">
      <c r="A16" s="3">
        <v>7</v>
      </c>
      <c r="B16" s="3" t="s">
        <v>17</v>
      </c>
      <c r="C16" s="2">
        <v>5498</v>
      </c>
      <c r="D16" s="2">
        <v>1157</v>
      </c>
      <c r="E16" s="2">
        <v>1566</v>
      </c>
      <c r="F16" s="2">
        <v>205</v>
      </c>
      <c r="G16" s="2">
        <v>0</v>
      </c>
      <c r="H16" s="2">
        <v>0</v>
      </c>
      <c r="I16" s="2">
        <v>3210</v>
      </c>
      <c r="J16" s="3">
        <f>SUM(C16:I16)</f>
        <v>11636</v>
      </c>
      <c r="K16" s="3">
        <f t="shared" si="0"/>
        <v>63928</v>
      </c>
    </row>
    <row r="17" spans="1:11" x14ac:dyDescent="0.3">
      <c r="A17" s="3">
        <v>8</v>
      </c>
      <c r="B17" s="3" t="s">
        <v>18</v>
      </c>
      <c r="C17" s="2">
        <v>3824</v>
      </c>
      <c r="D17" s="2">
        <v>632</v>
      </c>
      <c r="E17" s="2">
        <v>163</v>
      </c>
      <c r="F17" s="2">
        <v>37</v>
      </c>
      <c r="G17" s="2">
        <v>0</v>
      </c>
      <c r="H17" s="2">
        <v>0</v>
      </c>
      <c r="I17" s="2">
        <v>4093</v>
      </c>
      <c r="J17" s="3">
        <f>SUM(C17:I17)</f>
        <v>8749</v>
      </c>
      <c r="K17" s="3">
        <f t="shared" si="0"/>
        <v>72677</v>
      </c>
    </row>
    <row r="18" spans="1:11" x14ac:dyDescent="0.3">
      <c r="A18" s="3">
        <v>9</v>
      </c>
      <c r="B18" s="3" t="s">
        <v>19</v>
      </c>
      <c r="C18" s="2">
        <v>5445</v>
      </c>
      <c r="D18" s="2">
        <v>0</v>
      </c>
      <c r="E18" s="2">
        <v>7575</v>
      </c>
      <c r="F18" s="2">
        <v>108</v>
      </c>
      <c r="G18" s="2">
        <v>108</v>
      </c>
      <c r="H18" s="2">
        <v>0</v>
      </c>
      <c r="I18" s="2">
        <v>2344</v>
      </c>
      <c r="J18" s="3">
        <f>SUM(C18:I18)</f>
        <v>15580</v>
      </c>
      <c r="K18" s="3">
        <f t="shared" si="0"/>
        <v>88257</v>
      </c>
    </row>
    <row r="19" spans="1:11" x14ac:dyDescent="0.3">
      <c r="A19" s="3">
        <v>10</v>
      </c>
      <c r="B19" s="3" t="s">
        <v>20</v>
      </c>
      <c r="C19" s="2">
        <v>4293</v>
      </c>
      <c r="D19" s="2">
        <v>0</v>
      </c>
      <c r="E19" s="2">
        <v>223</v>
      </c>
      <c r="F19" s="2">
        <v>547</v>
      </c>
      <c r="G19" s="2">
        <v>0</v>
      </c>
      <c r="H19" s="2">
        <v>0</v>
      </c>
      <c r="I19" s="2">
        <v>0</v>
      </c>
      <c r="J19" s="3">
        <f>SUM(C19:I19)</f>
        <v>5063</v>
      </c>
      <c r="K19" s="3">
        <f t="shared" si="0"/>
        <v>93320</v>
      </c>
    </row>
    <row r="20" spans="1:11" x14ac:dyDescent="0.3">
      <c r="A20" s="3">
        <v>11</v>
      </c>
      <c r="B20" s="3" t="s">
        <v>21</v>
      </c>
      <c r="C20" s="2">
        <v>1898</v>
      </c>
      <c r="D20" s="2">
        <v>55</v>
      </c>
      <c r="E20" s="2">
        <v>2017</v>
      </c>
      <c r="F20" s="2">
        <v>504</v>
      </c>
      <c r="G20" s="2">
        <v>0</v>
      </c>
      <c r="H20" s="2">
        <v>0</v>
      </c>
      <c r="I20" s="2">
        <v>0</v>
      </c>
      <c r="J20" s="3">
        <f>SUM(C20:I20)</f>
        <v>4474</v>
      </c>
      <c r="K20" s="3">
        <f t="shared" si="0"/>
        <v>97794</v>
      </c>
    </row>
    <row r="21" spans="1:11" x14ac:dyDescent="0.3">
      <c r="A21" s="3">
        <v>12</v>
      </c>
      <c r="B21" s="3" t="s">
        <v>22</v>
      </c>
      <c r="C21" s="2">
        <v>2626</v>
      </c>
      <c r="D21" s="2">
        <v>0</v>
      </c>
      <c r="E21" s="2">
        <v>2608</v>
      </c>
      <c r="F21" s="2">
        <v>684</v>
      </c>
      <c r="G21" s="2">
        <v>0</v>
      </c>
      <c r="H21" s="2">
        <v>0</v>
      </c>
      <c r="I21" s="2">
        <v>210</v>
      </c>
      <c r="J21" s="3">
        <f>SUM(C21:I21)</f>
        <v>6128</v>
      </c>
      <c r="K21" s="3">
        <f t="shared" si="0"/>
        <v>103922</v>
      </c>
    </row>
    <row r="22" spans="1:11" x14ac:dyDescent="0.3">
      <c r="A22" s="3">
        <v>13</v>
      </c>
      <c r="B22" s="3" t="s">
        <v>23</v>
      </c>
      <c r="C22" s="2">
        <v>3916</v>
      </c>
      <c r="D22" s="2">
        <v>60</v>
      </c>
      <c r="E22" s="2">
        <v>4135</v>
      </c>
      <c r="F22" s="2">
        <v>836</v>
      </c>
      <c r="G22" s="2">
        <v>70</v>
      </c>
      <c r="H22" s="2">
        <v>0</v>
      </c>
      <c r="I22" s="2">
        <v>1465</v>
      </c>
      <c r="J22" s="3">
        <f>SUM(C22:I22)</f>
        <v>10482</v>
      </c>
      <c r="K22" s="3">
        <f t="shared" si="0"/>
        <v>114404</v>
      </c>
    </row>
    <row r="23" spans="1:11" x14ac:dyDescent="0.3">
      <c r="A23" s="3">
        <v>14</v>
      </c>
      <c r="B23" s="3" t="s">
        <v>24</v>
      </c>
      <c r="C23" s="2">
        <v>4293</v>
      </c>
      <c r="D23" s="2">
        <v>98</v>
      </c>
      <c r="E23" s="2">
        <v>1174</v>
      </c>
      <c r="F23" s="2">
        <v>354</v>
      </c>
      <c r="G23" s="2">
        <v>0</v>
      </c>
      <c r="H23" s="2">
        <v>17866</v>
      </c>
      <c r="I23" s="2">
        <v>422</v>
      </c>
      <c r="J23" s="3">
        <f>SUM(C23:I23)</f>
        <v>24207</v>
      </c>
      <c r="K23" s="3">
        <f t="shared" si="0"/>
        <v>138611</v>
      </c>
    </row>
    <row r="24" spans="1:11" x14ac:dyDescent="0.3">
      <c r="A24" s="3">
        <v>15</v>
      </c>
      <c r="B24" s="3" t="s">
        <v>25</v>
      </c>
      <c r="C24" s="2">
        <v>3204</v>
      </c>
      <c r="D24" s="2">
        <v>68</v>
      </c>
      <c r="E24" s="2">
        <v>1578</v>
      </c>
      <c r="F24" s="2">
        <v>770</v>
      </c>
      <c r="G24" s="2">
        <v>0</v>
      </c>
      <c r="H24" s="2">
        <v>15134</v>
      </c>
      <c r="I24" s="2">
        <v>0</v>
      </c>
      <c r="J24" s="3">
        <f>SUM(C24:I24)</f>
        <v>20754</v>
      </c>
      <c r="K24" s="3">
        <f t="shared" si="0"/>
        <v>159365</v>
      </c>
    </row>
    <row r="25" spans="1:11" x14ac:dyDescent="0.3">
      <c r="A25" s="3">
        <v>16</v>
      </c>
      <c r="B25" s="3" t="s">
        <v>26</v>
      </c>
      <c r="C25" s="2">
        <v>3123</v>
      </c>
      <c r="D25" s="2">
        <v>0</v>
      </c>
      <c r="E25" s="2">
        <v>2310</v>
      </c>
      <c r="F25" s="2">
        <v>590</v>
      </c>
      <c r="G25" s="2">
        <v>968</v>
      </c>
      <c r="H25" s="2">
        <v>33001</v>
      </c>
      <c r="I25" s="2">
        <v>0</v>
      </c>
      <c r="J25" s="3">
        <f>SUM(C25:I25)</f>
        <v>39992</v>
      </c>
      <c r="K25" s="3">
        <f t="shared" si="0"/>
        <v>199357</v>
      </c>
    </row>
    <row r="26" spans="1:11" x14ac:dyDescent="0.3">
      <c r="A26" s="3">
        <v>17</v>
      </c>
      <c r="B26" s="3" t="s">
        <v>27</v>
      </c>
      <c r="C26" s="2">
        <v>5273</v>
      </c>
      <c r="D26" s="2">
        <v>66</v>
      </c>
      <c r="E26" s="2">
        <v>618</v>
      </c>
      <c r="F26" s="2">
        <v>767</v>
      </c>
      <c r="G26" s="2">
        <v>2789</v>
      </c>
      <c r="H26" s="2">
        <v>0</v>
      </c>
      <c r="I26" s="2">
        <v>0</v>
      </c>
      <c r="J26" s="3">
        <f>SUM(C26:I26)</f>
        <v>9513</v>
      </c>
      <c r="K26" s="3">
        <f t="shared" si="0"/>
        <v>208870</v>
      </c>
    </row>
    <row r="27" spans="1:11" x14ac:dyDescent="0.3">
      <c r="A27" s="3">
        <v>18</v>
      </c>
      <c r="B27" s="3" t="s">
        <v>28</v>
      </c>
      <c r="C27" s="2">
        <v>5108</v>
      </c>
      <c r="D27" s="2">
        <v>99</v>
      </c>
      <c r="E27" s="2">
        <v>1182</v>
      </c>
      <c r="F27" s="2">
        <v>1667</v>
      </c>
      <c r="G27" s="2">
        <v>1670</v>
      </c>
      <c r="H27" s="2">
        <v>0</v>
      </c>
      <c r="I27" s="2">
        <v>391</v>
      </c>
      <c r="J27" s="3">
        <f>SUM(C27:I27)</f>
        <v>10117</v>
      </c>
      <c r="K27" s="3">
        <f t="shared" si="0"/>
        <v>218987</v>
      </c>
    </row>
    <row r="28" spans="1:11" x14ac:dyDescent="0.3">
      <c r="A28" s="3">
        <v>19</v>
      </c>
      <c r="B28" s="3" t="s">
        <v>29</v>
      </c>
      <c r="C28" s="2">
        <v>3292</v>
      </c>
      <c r="D28" s="2">
        <v>199</v>
      </c>
      <c r="E28" s="2">
        <v>1839</v>
      </c>
      <c r="F28" s="2">
        <v>11005</v>
      </c>
      <c r="G28" s="2">
        <v>2489</v>
      </c>
      <c r="H28" s="2">
        <v>0</v>
      </c>
      <c r="I28" s="2">
        <v>0</v>
      </c>
      <c r="J28" s="3">
        <f>SUM(C28:I28)</f>
        <v>18824</v>
      </c>
      <c r="K28" s="3">
        <f t="shared" si="0"/>
        <v>237811</v>
      </c>
    </row>
    <row r="29" spans="1:11" x14ac:dyDescent="0.3">
      <c r="A29" s="3">
        <v>20</v>
      </c>
      <c r="B29" s="3" t="s">
        <v>30</v>
      </c>
      <c r="C29" s="2">
        <v>3294</v>
      </c>
      <c r="D29" s="2">
        <v>236</v>
      </c>
      <c r="E29" s="2">
        <v>1965</v>
      </c>
      <c r="F29" s="2">
        <v>0</v>
      </c>
      <c r="G29" s="2">
        <v>1258</v>
      </c>
      <c r="H29" s="2">
        <v>0</v>
      </c>
      <c r="I29" s="2">
        <v>792</v>
      </c>
      <c r="J29" s="3">
        <f>SUM(C29:I29)</f>
        <v>7545</v>
      </c>
      <c r="K29" s="3">
        <f t="shared" si="0"/>
        <v>245356</v>
      </c>
    </row>
    <row r="30" spans="1:11" x14ac:dyDescent="0.3">
      <c r="A30" s="3">
        <v>21</v>
      </c>
      <c r="B30" s="3" t="s">
        <v>31</v>
      </c>
      <c r="C30" s="2">
        <v>3944</v>
      </c>
      <c r="D30" s="2">
        <v>419</v>
      </c>
      <c r="E30" s="2">
        <v>2375</v>
      </c>
      <c r="F30" s="2">
        <v>2362</v>
      </c>
      <c r="G30" s="2">
        <v>1269</v>
      </c>
      <c r="H30" s="2">
        <v>0</v>
      </c>
      <c r="I30" s="2">
        <v>708</v>
      </c>
      <c r="J30" s="3">
        <f>SUM(C30:I30)</f>
        <v>11077</v>
      </c>
      <c r="K30" s="3">
        <f t="shared" si="0"/>
        <v>256433</v>
      </c>
    </row>
    <row r="31" spans="1:11" x14ac:dyDescent="0.3">
      <c r="A31" s="3">
        <v>22</v>
      </c>
      <c r="B31" s="3" t="s">
        <v>32</v>
      </c>
      <c r="C31" s="2">
        <v>3525</v>
      </c>
      <c r="D31" s="2">
        <v>138</v>
      </c>
      <c r="E31" s="2">
        <v>4674</v>
      </c>
      <c r="F31" s="2">
        <v>624</v>
      </c>
      <c r="G31" s="2">
        <v>2436</v>
      </c>
      <c r="H31" s="2">
        <v>0</v>
      </c>
      <c r="I31" s="2">
        <v>10190</v>
      </c>
      <c r="J31" s="3">
        <f>SUM(C31:I31)</f>
        <v>21587</v>
      </c>
      <c r="K31" s="3">
        <f t="shared" si="0"/>
        <v>278020</v>
      </c>
    </row>
    <row r="32" spans="1:11" x14ac:dyDescent="0.3">
      <c r="A32" s="3">
        <v>23</v>
      </c>
      <c r="B32" s="3" t="s">
        <v>33</v>
      </c>
      <c r="C32" s="2">
        <v>2630</v>
      </c>
      <c r="D32" s="2">
        <v>0</v>
      </c>
      <c r="E32" s="2">
        <v>413</v>
      </c>
      <c r="F32" s="2">
        <v>575</v>
      </c>
      <c r="G32" s="2">
        <v>3685</v>
      </c>
      <c r="H32" s="2">
        <v>0</v>
      </c>
      <c r="I32" s="2">
        <v>10015</v>
      </c>
      <c r="J32" s="3">
        <f>SUM(C32:I32)</f>
        <v>17318</v>
      </c>
      <c r="K32" s="3">
        <f t="shared" si="0"/>
        <v>295338</v>
      </c>
    </row>
    <row r="33" spans="1:11" x14ac:dyDescent="0.3">
      <c r="A33" s="3">
        <v>24</v>
      </c>
      <c r="B33" s="3" t="s">
        <v>34</v>
      </c>
      <c r="C33" s="2">
        <v>2720</v>
      </c>
      <c r="D33" s="2">
        <v>0</v>
      </c>
      <c r="E33" s="2">
        <v>1114</v>
      </c>
      <c r="F33" s="2">
        <v>437</v>
      </c>
      <c r="G33" s="2">
        <v>4504</v>
      </c>
      <c r="H33" s="2">
        <v>0</v>
      </c>
      <c r="I33" s="2">
        <v>16356</v>
      </c>
      <c r="J33" s="3">
        <f>SUM(C33:I33)</f>
        <v>25131</v>
      </c>
      <c r="K33" s="3">
        <f t="shared" si="0"/>
        <v>320469</v>
      </c>
    </row>
    <row r="34" spans="1:11" x14ac:dyDescent="0.3">
      <c r="A34" s="3">
        <v>25</v>
      </c>
      <c r="B34" s="3" t="s">
        <v>35</v>
      </c>
      <c r="C34" s="2">
        <v>3782</v>
      </c>
      <c r="D34" s="2">
        <v>175</v>
      </c>
      <c r="E34" s="2">
        <v>1111</v>
      </c>
      <c r="F34" s="2">
        <v>255</v>
      </c>
      <c r="G34" s="2">
        <v>4534</v>
      </c>
      <c r="H34" s="2">
        <v>0</v>
      </c>
      <c r="I34" s="2">
        <v>20447</v>
      </c>
      <c r="J34" s="3">
        <f>SUM(C34:I34)</f>
        <v>30304</v>
      </c>
      <c r="K34" s="3">
        <f t="shared" si="0"/>
        <v>350773</v>
      </c>
    </row>
    <row r="35" spans="1:11" x14ac:dyDescent="0.3">
      <c r="A35" s="3">
        <v>26</v>
      </c>
      <c r="B35" s="3" t="s">
        <v>36</v>
      </c>
      <c r="C35" s="2">
        <v>3912</v>
      </c>
      <c r="D35" s="2">
        <v>1527</v>
      </c>
      <c r="E35" s="2">
        <v>1239</v>
      </c>
      <c r="F35" s="2">
        <v>21211</v>
      </c>
      <c r="G35" s="2">
        <v>4117</v>
      </c>
      <c r="H35" s="2">
        <v>0</v>
      </c>
      <c r="I35" s="2">
        <v>16662</v>
      </c>
      <c r="J35" s="3">
        <f>SUM(C35:I35)</f>
        <v>48668</v>
      </c>
      <c r="K35" s="3">
        <f t="shared" si="0"/>
        <v>399441</v>
      </c>
    </row>
    <row r="36" spans="1:11" x14ac:dyDescent="0.3">
      <c r="A36" s="3">
        <v>27</v>
      </c>
      <c r="B36" s="3" t="s">
        <v>37</v>
      </c>
      <c r="C36" s="2">
        <v>3640</v>
      </c>
      <c r="D36" s="2">
        <v>682</v>
      </c>
      <c r="E36" s="2">
        <v>4647</v>
      </c>
      <c r="F36" s="2">
        <v>1902</v>
      </c>
      <c r="G36" s="2">
        <v>1816</v>
      </c>
      <c r="H36" s="2">
        <v>0</v>
      </c>
      <c r="I36" s="2">
        <v>24532</v>
      </c>
      <c r="J36" s="3">
        <f>SUM(C36:I36)</f>
        <v>37219</v>
      </c>
      <c r="K36" s="3">
        <f t="shared" si="0"/>
        <v>436660</v>
      </c>
    </row>
    <row r="37" spans="1:11" x14ac:dyDescent="0.3">
      <c r="A37" s="3">
        <v>28</v>
      </c>
      <c r="B37" s="3" t="s">
        <v>38</v>
      </c>
      <c r="C37" s="2">
        <v>4693</v>
      </c>
      <c r="D37" s="2">
        <v>874</v>
      </c>
      <c r="E37" s="2">
        <v>1753</v>
      </c>
      <c r="F37" s="2">
        <v>11478</v>
      </c>
      <c r="G37" s="2">
        <v>3971</v>
      </c>
      <c r="H37" s="2">
        <v>0</v>
      </c>
      <c r="I37" s="2">
        <v>17164</v>
      </c>
      <c r="J37" s="3">
        <f>SUM(C37:I37)</f>
        <v>39933</v>
      </c>
      <c r="K37" s="3">
        <f t="shared" si="0"/>
        <v>476593</v>
      </c>
    </row>
    <row r="38" spans="1:11" x14ac:dyDescent="0.3">
      <c r="A38" s="3">
        <v>29</v>
      </c>
      <c r="B38" s="3" t="s">
        <v>39</v>
      </c>
      <c r="C38" s="2">
        <v>5084</v>
      </c>
      <c r="D38" s="2">
        <v>403</v>
      </c>
      <c r="E38" s="2">
        <v>2042</v>
      </c>
      <c r="F38" s="2">
        <v>1191</v>
      </c>
      <c r="G38" s="2">
        <v>5272</v>
      </c>
      <c r="H38" s="2">
        <v>0</v>
      </c>
      <c r="I38" s="2">
        <v>17227</v>
      </c>
      <c r="J38" s="3">
        <f>SUM(C38:I38)</f>
        <v>31219</v>
      </c>
      <c r="K38" s="3">
        <f t="shared" si="0"/>
        <v>507812</v>
      </c>
    </row>
    <row r="39" spans="1:11" x14ac:dyDescent="0.3">
      <c r="A39" s="3">
        <v>30</v>
      </c>
      <c r="B39" s="3" t="s">
        <v>40</v>
      </c>
      <c r="C39" s="2">
        <v>4550</v>
      </c>
      <c r="D39" s="2">
        <v>1275</v>
      </c>
      <c r="E39" s="2">
        <v>2326</v>
      </c>
      <c r="F39" s="2">
        <v>656</v>
      </c>
      <c r="G39" s="2">
        <v>4791</v>
      </c>
      <c r="H39" s="2">
        <v>0</v>
      </c>
      <c r="I39" s="2">
        <v>13601</v>
      </c>
      <c r="J39" s="3">
        <f>SUM(C39:I39)</f>
        <v>27199</v>
      </c>
      <c r="K39" s="3">
        <f t="shared" si="0"/>
        <v>535011</v>
      </c>
    </row>
    <row r="40" spans="1:11" x14ac:dyDescent="0.3">
      <c r="A40" s="3">
        <v>31</v>
      </c>
      <c r="B40" s="3" t="s">
        <v>41</v>
      </c>
      <c r="C40" s="2">
        <v>6484</v>
      </c>
      <c r="D40" s="2">
        <v>687</v>
      </c>
      <c r="E40" s="2">
        <v>4436</v>
      </c>
      <c r="F40" s="2">
        <v>363</v>
      </c>
      <c r="G40" s="2">
        <v>4315</v>
      </c>
      <c r="H40" s="2">
        <v>0</v>
      </c>
      <c r="I40" s="2">
        <v>16691</v>
      </c>
      <c r="J40" s="3">
        <f>SUM(C40:I40)</f>
        <v>32976</v>
      </c>
      <c r="K40" s="3">
        <f t="shared" si="0"/>
        <v>567987</v>
      </c>
    </row>
    <row r="41" spans="1:11" x14ac:dyDescent="0.3">
      <c r="A41" s="3">
        <v>32</v>
      </c>
      <c r="B41" s="3" t="s">
        <v>42</v>
      </c>
      <c r="C41" s="2">
        <v>5746</v>
      </c>
      <c r="D41" s="2">
        <v>1050</v>
      </c>
      <c r="E41" s="2">
        <v>2359</v>
      </c>
      <c r="F41" s="2">
        <v>493</v>
      </c>
      <c r="G41" s="2">
        <v>5575</v>
      </c>
      <c r="H41" s="2">
        <v>0</v>
      </c>
      <c r="I41" s="2">
        <v>16605</v>
      </c>
      <c r="J41" s="3">
        <f>SUM(C41:I41)</f>
        <v>31828</v>
      </c>
      <c r="K41" s="3">
        <f t="shared" si="0"/>
        <v>599815</v>
      </c>
    </row>
    <row r="42" spans="1:11" x14ac:dyDescent="0.3">
      <c r="A42" s="3">
        <v>33</v>
      </c>
      <c r="B42" s="3" t="s">
        <v>43</v>
      </c>
      <c r="C42" s="2">
        <v>5843</v>
      </c>
      <c r="D42" s="2">
        <v>1729</v>
      </c>
      <c r="E42" s="2">
        <v>1795</v>
      </c>
      <c r="F42" s="2">
        <v>936</v>
      </c>
      <c r="G42" s="2">
        <v>4923</v>
      </c>
      <c r="H42" s="2">
        <v>0</v>
      </c>
      <c r="I42" s="2">
        <v>15772</v>
      </c>
      <c r="J42" s="3">
        <f>SUM(C42:I42)</f>
        <v>30998</v>
      </c>
      <c r="K42" s="3">
        <f t="shared" si="0"/>
        <v>630813</v>
      </c>
    </row>
    <row r="43" spans="1:11" x14ac:dyDescent="0.3">
      <c r="A43" s="3">
        <v>34</v>
      </c>
      <c r="B43" s="3" t="s">
        <v>44</v>
      </c>
      <c r="C43" s="2">
        <v>5367</v>
      </c>
      <c r="D43" s="2">
        <v>1517</v>
      </c>
      <c r="E43" s="2">
        <v>1133</v>
      </c>
      <c r="F43" s="2">
        <v>1020</v>
      </c>
      <c r="G43" s="2">
        <v>4149</v>
      </c>
      <c r="H43" s="2">
        <v>0</v>
      </c>
      <c r="I43" s="2">
        <v>11544</v>
      </c>
      <c r="J43" s="3">
        <f>SUM(C43:I43)</f>
        <v>24730</v>
      </c>
      <c r="K43" s="3">
        <f t="shared" ref="K43:K74" si="1">J43+K42</f>
        <v>655543</v>
      </c>
    </row>
    <row r="44" spans="1:11" x14ac:dyDescent="0.3">
      <c r="A44" s="3">
        <v>35</v>
      </c>
      <c r="B44" s="3" t="s">
        <v>45</v>
      </c>
      <c r="C44" s="2">
        <v>2768</v>
      </c>
      <c r="D44" s="2">
        <v>731</v>
      </c>
      <c r="E44" s="2">
        <v>4976</v>
      </c>
      <c r="F44" s="2">
        <v>397</v>
      </c>
      <c r="G44" s="2">
        <v>333</v>
      </c>
      <c r="H44" s="2">
        <v>0</v>
      </c>
      <c r="I44" s="2">
        <v>8698</v>
      </c>
      <c r="J44" s="3">
        <f>SUM(C44:I44)</f>
        <v>17903</v>
      </c>
      <c r="K44" s="3">
        <f t="shared" si="1"/>
        <v>673446</v>
      </c>
    </row>
    <row r="45" spans="1:11" x14ac:dyDescent="0.3">
      <c r="A45" s="3">
        <v>36</v>
      </c>
      <c r="B45" s="3" t="s">
        <v>46</v>
      </c>
      <c r="C45" s="2">
        <v>1905</v>
      </c>
      <c r="D45" s="2">
        <v>205</v>
      </c>
      <c r="E45" s="2">
        <v>1024</v>
      </c>
      <c r="F45" s="2">
        <v>181</v>
      </c>
      <c r="G45" s="2">
        <v>504</v>
      </c>
      <c r="H45" s="2">
        <v>0</v>
      </c>
      <c r="I45" s="2">
        <v>4517</v>
      </c>
      <c r="J45" s="3">
        <f>SUM(C45:I45)</f>
        <v>8336</v>
      </c>
      <c r="K45" s="3">
        <f t="shared" si="1"/>
        <v>681782</v>
      </c>
    </row>
    <row r="46" spans="1:11" x14ac:dyDescent="0.3">
      <c r="A46" s="3">
        <v>37</v>
      </c>
      <c r="B46" s="3" t="s">
        <v>47</v>
      </c>
      <c r="C46" s="2">
        <v>7346</v>
      </c>
      <c r="D46" s="2">
        <v>1720</v>
      </c>
      <c r="E46" s="2">
        <v>1926</v>
      </c>
      <c r="F46" s="2">
        <v>1146</v>
      </c>
      <c r="G46" s="2">
        <v>4994</v>
      </c>
      <c r="H46" s="2">
        <v>0</v>
      </c>
      <c r="I46" s="2">
        <v>11142</v>
      </c>
      <c r="J46" s="3">
        <f>SUM(C46:I46)</f>
        <v>28274</v>
      </c>
      <c r="K46" s="3">
        <f t="shared" si="1"/>
        <v>710056</v>
      </c>
    </row>
    <row r="47" spans="1:11" x14ac:dyDescent="0.3">
      <c r="A47" s="3">
        <v>38</v>
      </c>
      <c r="B47" s="3" t="s">
        <v>48</v>
      </c>
      <c r="C47" s="2">
        <v>6855</v>
      </c>
      <c r="D47" s="2">
        <v>1959</v>
      </c>
      <c r="E47" s="2">
        <v>1311</v>
      </c>
      <c r="F47" s="2">
        <v>1479</v>
      </c>
      <c r="G47" s="2">
        <v>4422</v>
      </c>
      <c r="H47" s="2">
        <v>0</v>
      </c>
      <c r="I47" s="2">
        <v>10593</v>
      </c>
      <c r="J47" s="3">
        <f>SUM(C47:I47)</f>
        <v>26619</v>
      </c>
      <c r="K47" s="3">
        <f t="shared" si="1"/>
        <v>736675</v>
      </c>
    </row>
    <row r="48" spans="1:11" x14ac:dyDescent="0.3">
      <c r="A48" s="3">
        <v>39</v>
      </c>
      <c r="B48" s="3" t="s">
        <v>49</v>
      </c>
      <c r="C48" s="2">
        <v>4848</v>
      </c>
      <c r="D48" s="2">
        <v>979</v>
      </c>
      <c r="E48" s="2">
        <v>1219</v>
      </c>
      <c r="F48" s="2">
        <v>1257</v>
      </c>
      <c r="G48" s="2">
        <v>3618</v>
      </c>
      <c r="H48" s="2">
        <v>0</v>
      </c>
      <c r="I48" s="2">
        <v>14635</v>
      </c>
      <c r="J48" s="3">
        <f>SUM(C48:I48)</f>
        <v>26556</v>
      </c>
      <c r="K48" s="3">
        <f t="shared" si="1"/>
        <v>763231</v>
      </c>
    </row>
    <row r="49" spans="1:11" x14ac:dyDescent="0.3">
      <c r="A49" s="3">
        <v>40</v>
      </c>
      <c r="B49" s="3" t="s">
        <v>50</v>
      </c>
      <c r="C49" s="2">
        <v>6984</v>
      </c>
      <c r="D49" s="2">
        <v>1968</v>
      </c>
      <c r="E49" s="2">
        <v>4566</v>
      </c>
      <c r="F49" s="2">
        <v>10911</v>
      </c>
      <c r="G49" s="2">
        <v>3424</v>
      </c>
      <c r="H49" s="2">
        <v>0</v>
      </c>
      <c r="I49" s="2">
        <v>14466</v>
      </c>
      <c r="J49" s="3">
        <f>SUM(C49:I49)</f>
        <v>42319</v>
      </c>
      <c r="K49" s="3">
        <f t="shared" si="1"/>
        <v>805550</v>
      </c>
    </row>
    <row r="50" spans="1:11" x14ac:dyDescent="0.3">
      <c r="A50" s="3">
        <v>41</v>
      </c>
      <c r="B50" s="3" t="s">
        <v>51</v>
      </c>
      <c r="C50" s="2">
        <v>6494</v>
      </c>
      <c r="D50" s="2">
        <v>3038</v>
      </c>
      <c r="E50" s="2">
        <v>1323</v>
      </c>
      <c r="F50" s="2">
        <v>2443</v>
      </c>
      <c r="G50" s="2">
        <v>2481</v>
      </c>
      <c r="H50" s="2">
        <v>0</v>
      </c>
      <c r="I50" s="2">
        <v>9871</v>
      </c>
      <c r="J50" s="3">
        <f>SUM(C50:I50)</f>
        <v>25650</v>
      </c>
      <c r="K50" s="3">
        <f t="shared" si="1"/>
        <v>831200</v>
      </c>
    </row>
    <row r="51" spans="1:11" x14ac:dyDescent="0.3">
      <c r="A51" s="3">
        <v>42</v>
      </c>
      <c r="B51" s="3" t="s">
        <v>52</v>
      </c>
      <c r="C51" s="2">
        <v>6793</v>
      </c>
      <c r="D51" s="2">
        <v>2004</v>
      </c>
      <c r="E51" s="2">
        <v>1396</v>
      </c>
      <c r="F51" s="2">
        <v>970</v>
      </c>
      <c r="G51" s="2">
        <v>3698</v>
      </c>
      <c r="H51" s="2">
        <v>0</v>
      </c>
      <c r="I51" s="2">
        <v>15251</v>
      </c>
      <c r="J51" s="3">
        <f>SUM(C51:I51)</f>
        <v>30112</v>
      </c>
      <c r="K51" s="3">
        <f t="shared" si="1"/>
        <v>861312</v>
      </c>
    </row>
    <row r="52" spans="1:11" x14ac:dyDescent="0.3">
      <c r="A52" s="3">
        <v>43</v>
      </c>
      <c r="B52" s="3" t="s">
        <v>53</v>
      </c>
      <c r="C52" s="2">
        <v>8538</v>
      </c>
      <c r="D52" s="2">
        <v>479</v>
      </c>
      <c r="E52" s="2">
        <v>1826</v>
      </c>
      <c r="F52" s="2">
        <v>465</v>
      </c>
      <c r="G52" s="2">
        <v>4047</v>
      </c>
      <c r="H52" s="2">
        <v>0</v>
      </c>
      <c r="I52" s="2">
        <v>11909</v>
      </c>
      <c r="J52" s="3">
        <f>SUM(C52:I52)</f>
        <v>27264</v>
      </c>
      <c r="K52" s="3">
        <f t="shared" si="1"/>
        <v>888576</v>
      </c>
    </row>
    <row r="53" spans="1:11" x14ac:dyDescent="0.3">
      <c r="A53" s="3">
        <v>44</v>
      </c>
      <c r="B53" s="3" t="s">
        <v>54</v>
      </c>
      <c r="C53" s="2">
        <v>5469</v>
      </c>
      <c r="D53" s="2">
        <v>229</v>
      </c>
      <c r="E53" s="2">
        <v>3434</v>
      </c>
      <c r="F53" s="2">
        <v>1511</v>
      </c>
      <c r="G53" s="2">
        <v>4561</v>
      </c>
      <c r="H53" s="2">
        <v>0</v>
      </c>
      <c r="I53" s="2">
        <v>16140</v>
      </c>
      <c r="J53" s="3">
        <f>SUM(C53:I53)</f>
        <v>31344</v>
      </c>
      <c r="K53" s="3">
        <f t="shared" si="1"/>
        <v>919920</v>
      </c>
    </row>
    <row r="54" spans="1:11" x14ac:dyDescent="0.3">
      <c r="A54" s="3">
        <v>45</v>
      </c>
      <c r="B54" s="3" t="s">
        <v>55</v>
      </c>
      <c r="C54" s="2">
        <v>4423</v>
      </c>
      <c r="D54" s="2">
        <v>0</v>
      </c>
      <c r="E54" s="2">
        <v>1383</v>
      </c>
      <c r="F54" s="2">
        <v>1807</v>
      </c>
      <c r="G54" s="2">
        <v>3980</v>
      </c>
      <c r="H54" s="2">
        <v>0</v>
      </c>
      <c r="I54" s="2">
        <v>12569</v>
      </c>
      <c r="J54" s="3">
        <f>SUM(C54:I54)</f>
        <v>24162</v>
      </c>
      <c r="K54" s="3">
        <f t="shared" si="1"/>
        <v>944082</v>
      </c>
    </row>
    <row r="55" spans="1:11" x14ac:dyDescent="0.3">
      <c r="A55" s="3">
        <v>46</v>
      </c>
      <c r="B55" s="3" t="s">
        <v>56</v>
      </c>
      <c r="C55" s="2">
        <v>5913</v>
      </c>
      <c r="D55" s="2">
        <v>0</v>
      </c>
      <c r="E55" s="2">
        <v>1885</v>
      </c>
      <c r="F55" s="2">
        <v>578</v>
      </c>
      <c r="G55" s="2">
        <v>5902</v>
      </c>
      <c r="H55" s="2">
        <v>0</v>
      </c>
      <c r="I55" s="2">
        <v>13652</v>
      </c>
      <c r="J55" s="3">
        <f>SUM(C55:I55)</f>
        <v>27930</v>
      </c>
      <c r="K55" s="3">
        <f t="shared" si="1"/>
        <v>972012</v>
      </c>
    </row>
    <row r="56" spans="1:11" x14ac:dyDescent="0.3">
      <c r="A56" s="3">
        <v>47</v>
      </c>
      <c r="B56" s="3" t="s">
        <v>57</v>
      </c>
      <c r="C56" s="2">
        <v>5130</v>
      </c>
      <c r="D56" s="2">
        <v>72</v>
      </c>
      <c r="E56" s="2">
        <v>2741</v>
      </c>
      <c r="F56" s="2">
        <v>965</v>
      </c>
      <c r="G56" s="2">
        <v>6174</v>
      </c>
      <c r="H56" s="2">
        <v>0</v>
      </c>
      <c r="I56" s="2">
        <v>13662</v>
      </c>
      <c r="J56" s="3">
        <f>SUM(C56:I56)</f>
        <v>28744</v>
      </c>
      <c r="K56" s="3">
        <f t="shared" si="1"/>
        <v>1000756</v>
      </c>
    </row>
    <row r="57" spans="1:11" x14ac:dyDescent="0.3">
      <c r="A57" s="3">
        <v>48</v>
      </c>
      <c r="B57" s="3" t="s">
        <v>58</v>
      </c>
      <c r="C57" s="2">
        <v>5386</v>
      </c>
      <c r="D57" s="2">
        <v>641</v>
      </c>
      <c r="E57" s="2">
        <v>2159</v>
      </c>
      <c r="F57" s="2">
        <v>3060</v>
      </c>
      <c r="G57" s="2">
        <v>6213</v>
      </c>
      <c r="H57" s="2">
        <v>0</v>
      </c>
      <c r="I57" s="2">
        <v>16081</v>
      </c>
      <c r="J57" s="3">
        <f>SUM(C57:I57)</f>
        <v>33540</v>
      </c>
      <c r="K57" s="3">
        <f t="shared" si="1"/>
        <v>1034296</v>
      </c>
    </row>
    <row r="58" spans="1:11" x14ac:dyDescent="0.3">
      <c r="A58" s="3">
        <v>49</v>
      </c>
      <c r="B58" s="3" t="s">
        <v>59</v>
      </c>
      <c r="C58" s="2">
        <v>3874</v>
      </c>
      <c r="D58" s="2">
        <v>713</v>
      </c>
      <c r="E58" s="2">
        <v>2066</v>
      </c>
      <c r="F58" s="2">
        <v>1308</v>
      </c>
      <c r="G58" s="2">
        <v>3940</v>
      </c>
      <c r="H58" s="2">
        <v>0</v>
      </c>
      <c r="I58" s="2">
        <v>12659</v>
      </c>
      <c r="J58" s="3">
        <f>SUM(C58:I58)</f>
        <v>24560</v>
      </c>
      <c r="K58" s="3">
        <f t="shared" si="1"/>
        <v>1058856</v>
      </c>
    </row>
    <row r="59" spans="1:11" x14ac:dyDescent="0.3">
      <c r="A59" s="3">
        <v>50</v>
      </c>
      <c r="B59" s="3" t="s">
        <v>60</v>
      </c>
      <c r="C59" s="2">
        <v>3968</v>
      </c>
      <c r="D59" s="2">
        <v>2385</v>
      </c>
      <c r="E59" s="2">
        <v>2151</v>
      </c>
      <c r="F59" s="2">
        <v>758</v>
      </c>
      <c r="G59" s="2">
        <v>3422</v>
      </c>
      <c r="H59" s="2">
        <v>0</v>
      </c>
      <c r="I59" s="2">
        <v>12578</v>
      </c>
      <c r="J59" s="3">
        <f>SUM(C59:I59)</f>
        <v>25262</v>
      </c>
      <c r="K59" s="3">
        <f t="shared" si="1"/>
        <v>1084118</v>
      </c>
    </row>
    <row r="60" spans="1:11" x14ac:dyDescent="0.3">
      <c r="A60" s="3">
        <v>51</v>
      </c>
      <c r="B60" s="3" t="s">
        <v>61</v>
      </c>
      <c r="C60" s="2">
        <v>5611</v>
      </c>
      <c r="D60" s="2">
        <v>1428</v>
      </c>
      <c r="E60" s="2">
        <v>3111</v>
      </c>
      <c r="F60" s="2">
        <v>790</v>
      </c>
      <c r="G60" s="2">
        <v>5271</v>
      </c>
      <c r="H60" s="2">
        <v>0</v>
      </c>
      <c r="I60" s="2">
        <v>16392</v>
      </c>
      <c r="J60" s="3">
        <f>SUM(C60:I60)</f>
        <v>32603</v>
      </c>
      <c r="K60" s="3">
        <f t="shared" si="1"/>
        <v>1116721</v>
      </c>
    </row>
    <row r="61" spans="1:11" x14ac:dyDescent="0.3">
      <c r="A61" s="3" t="s">
        <v>2</v>
      </c>
      <c r="B61" s="3" t="s">
        <v>62</v>
      </c>
      <c r="C61" s="3">
        <f t="shared" ref="C61:I61" si="2">SUM(C10:C60)</f>
        <v>221860</v>
      </c>
      <c r="D61" s="3">
        <f t="shared" si="2"/>
        <v>40349</v>
      </c>
      <c r="E61" s="3">
        <f t="shared" si="2"/>
        <v>104512</v>
      </c>
      <c r="F61" s="3">
        <f t="shared" si="2"/>
        <v>93905</v>
      </c>
      <c r="G61" s="3">
        <f t="shared" si="2"/>
        <v>133547</v>
      </c>
      <c r="H61" s="3">
        <f t="shared" si="2"/>
        <v>66001</v>
      </c>
      <c r="I61" s="3">
        <f t="shared" si="2"/>
        <v>456547</v>
      </c>
      <c r="J61" s="3">
        <f>SUM(J10:J60)</f>
        <v>1116721</v>
      </c>
      <c r="K61" s="3"/>
    </row>
  </sheetData>
  <mergeCells count="3">
    <mergeCell ref="A6:K6"/>
    <mergeCell ref="A7:K7"/>
    <mergeCell ref="A8:K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Q61"/>
  <sheetViews>
    <sheetView workbookViewId="0">
      <pane xSplit="2" ySplit="9" topLeftCell="D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2.77734375" customWidth="1"/>
    <col min="4" max="4" width="25.21875" customWidth="1"/>
    <col min="5" max="5" width="10" customWidth="1"/>
    <col min="6" max="6" width="16.6640625" customWidth="1"/>
    <col min="7" max="7" width="10.88671875" customWidth="1"/>
    <col min="8" max="8" width="15.77734375" customWidth="1"/>
    <col min="9" max="9" width="12.77734375" customWidth="1"/>
    <col min="10" max="10" width="15.6640625" customWidth="1"/>
    <col min="11" max="11" width="10.33203125" customWidth="1"/>
    <col min="12" max="12" width="12.21875" customWidth="1"/>
    <col min="13" max="13" width="26.44140625" customWidth="1"/>
    <col min="14" max="14" width="10.77734375" customWidth="1"/>
    <col min="15" max="15" width="12.5546875" customWidth="1"/>
    <col min="16" max="17" width="26.6640625" customWidth="1"/>
  </cols>
  <sheetData>
    <row r="6" spans="1:17" ht="15.6" x14ac:dyDescent="0.3">
      <c r="A6" s="4" t="s">
        <v>63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  <row r="7" spans="1:17" ht="15.6" x14ac:dyDescent="0.3">
      <c r="A7" s="4" t="s">
        <v>64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/>
    </row>
    <row r="8" spans="1:17" x14ac:dyDescent="0.3">
      <c r="A8" s="7" t="s">
        <v>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</row>
    <row r="9" spans="1:17" x14ac:dyDescent="0.3">
      <c r="A9" s="1"/>
      <c r="B9" s="1" t="s">
        <v>3</v>
      </c>
      <c r="C9" s="1" t="s">
        <v>4</v>
      </c>
      <c r="D9" s="1" t="s">
        <v>5</v>
      </c>
      <c r="E9" s="1" t="s">
        <v>65</v>
      </c>
      <c r="F9" s="1" t="s">
        <v>66</v>
      </c>
      <c r="G9" s="1" t="s">
        <v>6</v>
      </c>
      <c r="H9" s="1" t="s">
        <v>67</v>
      </c>
      <c r="I9" s="1" t="s">
        <v>68</v>
      </c>
      <c r="J9" s="1" t="s">
        <v>7</v>
      </c>
      <c r="K9" s="1" t="s">
        <v>8</v>
      </c>
      <c r="L9" s="1" t="s">
        <v>69</v>
      </c>
      <c r="M9" s="1" t="s">
        <v>70</v>
      </c>
      <c r="N9" s="1" t="s">
        <v>71</v>
      </c>
      <c r="O9" s="1" t="s">
        <v>10</v>
      </c>
      <c r="P9" s="1" t="s">
        <v>96</v>
      </c>
      <c r="Q9" s="1" t="s">
        <v>97</v>
      </c>
    </row>
    <row r="10" spans="1:17" x14ac:dyDescent="0.3">
      <c r="A10" s="3">
        <v>1</v>
      </c>
      <c r="B10" s="3" t="s">
        <v>11</v>
      </c>
      <c r="C10" s="2">
        <v>28</v>
      </c>
      <c r="D10" s="2">
        <v>2016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379</v>
      </c>
      <c r="K10" s="2">
        <v>30</v>
      </c>
      <c r="L10" s="2">
        <v>0</v>
      </c>
      <c r="M10" s="2">
        <v>0</v>
      </c>
      <c r="N10" s="2">
        <v>0</v>
      </c>
      <c r="O10" s="2">
        <v>2288</v>
      </c>
      <c r="P10" s="3">
        <f>SUM(C10:O10)</f>
        <v>4741</v>
      </c>
      <c r="Q10" s="3">
        <f>P10</f>
        <v>4741</v>
      </c>
    </row>
    <row r="11" spans="1:17" x14ac:dyDescent="0.3">
      <c r="A11" s="3">
        <v>2</v>
      </c>
      <c r="B11" s="3" t="s">
        <v>12</v>
      </c>
      <c r="C11" s="2">
        <v>522</v>
      </c>
      <c r="D11" s="2">
        <v>1758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1046</v>
      </c>
      <c r="K11" s="2">
        <v>75</v>
      </c>
      <c r="L11" s="2">
        <v>0</v>
      </c>
      <c r="M11" s="2">
        <v>0</v>
      </c>
      <c r="N11" s="2">
        <v>0</v>
      </c>
      <c r="O11" s="2">
        <v>3883</v>
      </c>
      <c r="P11" s="3">
        <f>SUM(C11:O11)</f>
        <v>7284</v>
      </c>
      <c r="Q11" s="3">
        <f t="shared" ref="Q11:Q42" si="0">P11+Q10</f>
        <v>12025</v>
      </c>
    </row>
    <row r="12" spans="1:17" x14ac:dyDescent="0.3">
      <c r="A12" s="3">
        <v>3</v>
      </c>
      <c r="B12" s="3" t="s">
        <v>13</v>
      </c>
      <c r="C12" s="2">
        <v>308</v>
      </c>
      <c r="D12" s="2">
        <v>2633</v>
      </c>
      <c r="E12" s="2">
        <v>0</v>
      </c>
      <c r="F12" s="2">
        <v>0</v>
      </c>
      <c r="G12" s="2">
        <v>207</v>
      </c>
      <c r="H12" s="2">
        <v>0</v>
      </c>
      <c r="I12" s="2">
        <v>0</v>
      </c>
      <c r="J12" s="2">
        <v>1430</v>
      </c>
      <c r="K12" s="2">
        <v>1010</v>
      </c>
      <c r="L12" s="2">
        <v>0</v>
      </c>
      <c r="M12" s="2">
        <v>0</v>
      </c>
      <c r="N12" s="2">
        <v>0</v>
      </c>
      <c r="O12" s="2">
        <v>4304</v>
      </c>
      <c r="P12" s="3">
        <f>SUM(C12:O12)</f>
        <v>9892</v>
      </c>
      <c r="Q12" s="3">
        <f t="shared" si="0"/>
        <v>21917</v>
      </c>
    </row>
    <row r="13" spans="1:17" x14ac:dyDescent="0.3">
      <c r="A13" s="3">
        <v>4</v>
      </c>
      <c r="B13" s="3" t="s">
        <v>14</v>
      </c>
      <c r="C13" s="2">
        <v>1070</v>
      </c>
      <c r="D13" s="2">
        <v>2010</v>
      </c>
      <c r="E13" s="2">
        <v>0</v>
      </c>
      <c r="F13" s="2">
        <v>0</v>
      </c>
      <c r="G13" s="2">
        <v>8</v>
      </c>
      <c r="H13" s="2">
        <v>0</v>
      </c>
      <c r="I13" s="2">
        <v>0</v>
      </c>
      <c r="J13" s="2">
        <v>1384</v>
      </c>
      <c r="K13" s="2">
        <v>1408</v>
      </c>
      <c r="L13" s="2">
        <v>0</v>
      </c>
      <c r="M13" s="2">
        <v>0</v>
      </c>
      <c r="N13" s="2">
        <v>0</v>
      </c>
      <c r="O13" s="2">
        <v>6552</v>
      </c>
      <c r="P13" s="3">
        <f>SUM(C13:O13)</f>
        <v>12432</v>
      </c>
      <c r="Q13" s="3">
        <f t="shared" si="0"/>
        <v>34349</v>
      </c>
    </row>
    <row r="14" spans="1:17" x14ac:dyDescent="0.3">
      <c r="A14" s="3">
        <v>5</v>
      </c>
      <c r="B14" s="3" t="s">
        <v>15</v>
      </c>
      <c r="C14" s="2">
        <v>2293</v>
      </c>
      <c r="D14" s="2">
        <v>957</v>
      </c>
      <c r="E14" s="2">
        <v>0</v>
      </c>
      <c r="F14" s="2">
        <v>0</v>
      </c>
      <c r="G14" s="2">
        <v>79</v>
      </c>
      <c r="H14" s="2">
        <v>0</v>
      </c>
      <c r="I14" s="2">
        <v>0</v>
      </c>
      <c r="J14" s="2">
        <v>3057</v>
      </c>
      <c r="K14" s="2">
        <v>1557</v>
      </c>
      <c r="L14" s="2">
        <v>713</v>
      </c>
      <c r="M14" s="2">
        <v>0</v>
      </c>
      <c r="N14" s="2">
        <v>0</v>
      </c>
      <c r="O14" s="2">
        <v>10060</v>
      </c>
      <c r="P14" s="3">
        <f>SUM(C14:O14)</f>
        <v>18716</v>
      </c>
      <c r="Q14" s="3">
        <f t="shared" si="0"/>
        <v>53065</v>
      </c>
    </row>
    <row r="15" spans="1:17" x14ac:dyDescent="0.3">
      <c r="A15" s="3">
        <v>6</v>
      </c>
      <c r="B15" s="3" t="s">
        <v>16</v>
      </c>
      <c r="C15" s="2">
        <v>678</v>
      </c>
      <c r="D15" s="2">
        <v>2492</v>
      </c>
      <c r="E15" s="2">
        <v>0</v>
      </c>
      <c r="F15" s="2">
        <v>0</v>
      </c>
      <c r="G15" s="2">
        <v>6</v>
      </c>
      <c r="H15" s="2">
        <v>0</v>
      </c>
      <c r="I15" s="2">
        <v>0</v>
      </c>
      <c r="J15" s="2">
        <v>1297</v>
      </c>
      <c r="K15" s="2">
        <v>982</v>
      </c>
      <c r="L15" s="2">
        <v>0</v>
      </c>
      <c r="M15" s="2">
        <v>0</v>
      </c>
      <c r="N15" s="2">
        <v>0</v>
      </c>
      <c r="O15" s="2">
        <v>141</v>
      </c>
      <c r="P15" s="3">
        <f>SUM(C15:O15)</f>
        <v>5596</v>
      </c>
      <c r="Q15" s="3">
        <f t="shared" si="0"/>
        <v>58661</v>
      </c>
    </row>
    <row r="16" spans="1:17" x14ac:dyDescent="0.3">
      <c r="A16" s="3">
        <v>7</v>
      </c>
      <c r="B16" s="3" t="s">
        <v>17</v>
      </c>
      <c r="C16" s="2">
        <v>1291</v>
      </c>
      <c r="D16" s="2">
        <v>2213</v>
      </c>
      <c r="E16" s="2">
        <v>0</v>
      </c>
      <c r="F16" s="2">
        <v>0</v>
      </c>
      <c r="G16" s="2">
        <v>3</v>
      </c>
      <c r="H16" s="2">
        <v>0</v>
      </c>
      <c r="I16" s="2">
        <v>0</v>
      </c>
      <c r="J16" s="2">
        <v>957</v>
      </c>
      <c r="K16" s="2">
        <v>1622</v>
      </c>
      <c r="L16" s="2">
        <v>0</v>
      </c>
      <c r="M16" s="2">
        <v>0</v>
      </c>
      <c r="N16" s="2">
        <v>32054</v>
      </c>
      <c r="O16" s="2">
        <v>1363</v>
      </c>
      <c r="P16" s="3">
        <f>SUM(C16:O16)</f>
        <v>39503</v>
      </c>
      <c r="Q16" s="3">
        <f t="shared" si="0"/>
        <v>98164</v>
      </c>
    </row>
    <row r="17" spans="1:17" x14ac:dyDescent="0.3">
      <c r="A17" s="3">
        <v>8</v>
      </c>
      <c r="B17" s="3" t="s">
        <v>18</v>
      </c>
      <c r="C17" s="2">
        <v>323</v>
      </c>
      <c r="D17" s="2">
        <v>2018</v>
      </c>
      <c r="E17" s="2">
        <v>0</v>
      </c>
      <c r="F17" s="2">
        <v>16890</v>
      </c>
      <c r="G17" s="2">
        <v>3</v>
      </c>
      <c r="H17" s="2">
        <v>0</v>
      </c>
      <c r="I17" s="2">
        <v>0</v>
      </c>
      <c r="J17" s="2">
        <v>1758</v>
      </c>
      <c r="K17" s="2">
        <v>1977</v>
      </c>
      <c r="L17" s="2">
        <v>0</v>
      </c>
      <c r="M17" s="2">
        <v>0</v>
      </c>
      <c r="N17" s="2">
        <v>22946</v>
      </c>
      <c r="O17" s="2">
        <v>416</v>
      </c>
      <c r="P17" s="3">
        <f>SUM(C17:O17)</f>
        <v>46331</v>
      </c>
      <c r="Q17" s="3">
        <f t="shared" si="0"/>
        <v>144495</v>
      </c>
    </row>
    <row r="18" spans="1:17" x14ac:dyDescent="0.3">
      <c r="A18" s="3">
        <v>9</v>
      </c>
      <c r="B18" s="3" t="s">
        <v>19</v>
      </c>
      <c r="C18" s="2">
        <v>2628</v>
      </c>
      <c r="D18" s="2">
        <v>1895</v>
      </c>
      <c r="E18" s="2">
        <v>0</v>
      </c>
      <c r="F18" s="2">
        <v>30743</v>
      </c>
      <c r="G18" s="2">
        <v>423</v>
      </c>
      <c r="H18" s="2">
        <v>0</v>
      </c>
      <c r="I18" s="2">
        <v>0</v>
      </c>
      <c r="J18" s="2">
        <v>1315</v>
      </c>
      <c r="K18" s="2">
        <v>1340</v>
      </c>
      <c r="L18" s="2">
        <v>0</v>
      </c>
      <c r="M18" s="2">
        <v>0</v>
      </c>
      <c r="N18" s="2">
        <v>12675</v>
      </c>
      <c r="O18" s="2">
        <v>37</v>
      </c>
      <c r="P18" s="3">
        <f>SUM(C18:O18)</f>
        <v>51056</v>
      </c>
      <c r="Q18" s="3">
        <f t="shared" si="0"/>
        <v>195551</v>
      </c>
    </row>
    <row r="19" spans="1:17" x14ac:dyDescent="0.3">
      <c r="A19" s="3">
        <v>10</v>
      </c>
      <c r="B19" s="3" t="s">
        <v>20</v>
      </c>
      <c r="C19" s="2">
        <v>1121</v>
      </c>
      <c r="D19" s="2">
        <v>1752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2286</v>
      </c>
      <c r="K19" s="2">
        <v>885</v>
      </c>
      <c r="L19" s="2">
        <v>0</v>
      </c>
      <c r="M19" s="2">
        <v>0</v>
      </c>
      <c r="N19" s="2">
        <v>41445</v>
      </c>
      <c r="O19" s="2">
        <v>1</v>
      </c>
      <c r="P19" s="3">
        <f>SUM(C19:O19)</f>
        <v>47490</v>
      </c>
      <c r="Q19" s="3">
        <f t="shared" si="0"/>
        <v>243041</v>
      </c>
    </row>
    <row r="20" spans="1:17" x14ac:dyDescent="0.3">
      <c r="A20" s="3">
        <v>11</v>
      </c>
      <c r="B20" s="3" t="s">
        <v>21</v>
      </c>
      <c r="C20" s="2">
        <v>2093</v>
      </c>
      <c r="D20" s="2">
        <v>2372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3235</v>
      </c>
      <c r="K20" s="2">
        <v>1046</v>
      </c>
      <c r="L20" s="2">
        <v>0</v>
      </c>
      <c r="M20" s="2">
        <v>0</v>
      </c>
      <c r="N20" s="2">
        <v>0</v>
      </c>
      <c r="O20" s="2">
        <v>0</v>
      </c>
      <c r="P20" s="3">
        <f>SUM(C20:O20)</f>
        <v>8746</v>
      </c>
      <c r="Q20" s="3">
        <f t="shared" si="0"/>
        <v>251787</v>
      </c>
    </row>
    <row r="21" spans="1:17" x14ac:dyDescent="0.3">
      <c r="A21" s="3">
        <v>12</v>
      </c>
      <c r="B21" s="3" t="s">
        <v>22</v>
      </c>
      <c r="C21" s="2">
        <v>1045</v>
      </c>
      <c r="D21" s="2">
        <v>2201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3251</v>
      </c>
      <c r="K21" s="2">
        <v>1262</v>
      </c>
      <c r="L21" s="2">
        <v>0</v>
      </c>
      <c r="M21" s="2">
        <v>0</v>
      </c>
      <c r="N21" s="2">
        <v>0</v>
      </c>
      <c r="O21" s="2">
        <v>104</v>
      </c>
      <c r="P21" s="3">
        <f>SUM(C21:O21)</f>
        <v>7863</v>
      </c>
      <c r="Q21" s="3">
        <f t="shared" si="0"/>
        <v>259650</v>
      </c>
    </row>
    <row r="22" spans="1:17" x14ac:dyDescent="0.3">
      <c r="A22" s="3">
        <v>13</v>
      </c>
      <c r="B22" s="3" t="s">
        <v>23</v>
      </c>
      <c r="C22" s="2">
        <v>1177</v>
      </c>
      <c r="D22" s="2">
        <v>1565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3267</v>
      </c>
      <c r="K22" s="2">
        <v>535</v>
      </c>
      <c r="L22" s="2">
        <v>0</v>
      </c>
      <c r="M22" s="2">
        <v>50255</v>
      </c>
      <c r="N22" s="2">
        <v>0</v>
      </c>
      <c r="O22" s="2">
        <v>175</v>
      </c>
      <c r="P22" s="3">
        <f>SUM(C22:O22)</f>
        <v>56974</v>
      </c>
      <c r="Q22" s="3">
        <f t="shared" si="0"/>
        <v>316624</v>
      </c>
    </row>
    <row r="23" spans="1:17" x14ac:dyDescent="0.3">
      <c r="A23" s="3">
        <v>14</v>
      </c>
      <c r="B23" s="3" t="s">
        <v>24</v>
      </c>
      <c r="C23" s="2">
        <v>1648</v>
      </c>
      <c r="D23" s="2">
        <v>1829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2555</v>
      </c>
      <c r="K23" s="2">
        <v>1862</v>
      </c>
      <c r="L23" s="2">
        <v>0</v>
      </c>
      <c r="M23" s="2">
        <v>0</v>
      </c>
      <c r="N23" s="2">
        <v>0</v>
      </c>
      <c r="O23" s="2">
        <v>34</v>
      </c>
      <c r="P23" s="3">
        <f>SUM(C23:O23)</f>
        <v>7928</v>
      </c>
      <c r="Q23" s="3">
        <f t="shared" si="0"/>
        <v>324552</v>
      </c>
    </row>
    <row r="24" spans="1:17" x14ac:dyDescent="0.3">
      <c r="A24" s="3">
        <v>15</v>
      </c>
      <c r="B24" s="3" t="s">
        <v>25</v>
      </c>
      <c r="C24" s="2">
        <v>2252</v>
      </c>
      <c r="D24" s="2">
        <v>3095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3514</v>
      </c>
      <c r="K24" s="2">
        <v>215</v>
      </c>
      <c r="L24" s="2">
        <v>0</v>
      </c>
      <c r="M24" s="2">
        <v>0</v>
      </c>
      <c r="N24" s="2">
        <v>0</v>
      </c>
      <c r="O24" s="2">
        <v>0</v>
      </c>
      <c r="P24" s="3">
        <f>SUM(C24:O24)</f>
        <v>9076</v>
      </c>
      <c r="Q24" s="3">
        <f t="shared" si="0"/>
        <v>333628</v>
      </c>
    </row>
    <row r="25" spans="1:17" x14ac:dyDescent="0.3">
      <c r="A25" s="3">
        <v>16</v>
      </c>
      <c r="B25" s="3" t="s">
        <v>26</v>
      </c>
      <c r="C25" s="2">
        <v>1494</v>
      </c>
      <c r="D25" s="2">
        <v>2077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874</v>
      </c>
      <c r="K25" s="2">
        <v>714</v>
      </c>
      <c r="L25" s="2">
        <v>0</v>
      </c>
      <c r="M25" s="2">
        <v>0</v>
      </c>
      <c r="N25" s="2">
        <v>0</v>
      </c>
      <c r="O25" s="2">
        <v>0</v>
      </c>
      <c r="P25" s="3">
        <f>SUM(C25:O25)</f>
        <v>5159</v>
      </c>
      <c r="Q25" s="3">
        <f t="shared" si="0"/>
        <v>338787</v>
      </c>
    </row>
    <row r="26" spans="1:17" x14ac:dyDescent="0.3">
      <c r="A26" s="3">
        <v>17</v>
      </c>
      <c r="B26" s="3" t="s">
        <v>27</v>
      </c>
      <c r="C26" s="2">
        <v>1006</v>
      </c>
      <c r="D26" s="2">
        <v>1974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1022</v>
      </c>
      <c r="K26" s="2">
        <v>983</v>
      </c>
      <c r="L26" s="2">
        <v>0</v>
      </c>
      <c r="M26" s="2">
        <v>0</v>
      </c>
      <c r="N26" s="2">
        <v>0</v>
      </c>
      <c r="O26" s="2">
        <v>0</v>
      </c>
      <c r="P26" s="3">
        <f>SUM(C26:O26)</f>
        <v>4985</v>
      </c>
      <c r="Q26" s="3">
        <f t="shared" si="0"/>
        <v>343772</v>
      </c>
    </row>
    <row r="27" spans="1:17" x14ac:dyDescent="0.3">
      <c r="A27" s="3">
        <v>18</v>
      </c>
      <c r="B27" s="3" t="s">
        <v>28</v>
      </c>
      <c r="C27" s="2">
        <v>1157</v>
      </c>
      <c r="D27" s="2">
        <v>1714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1627</v>
      </c>
      <c r="K27" s="2">
        <v>1088</v>
      </c>
      <c r="L27" s="2">
        <v>0</v>
      </c>
      <c r="M27" s="2">
        <v>0</v>
      </c>
      <c r="N27" s="2">
        <v>0</v>
      </c>
      <c r="O27" s="2">
        <v>0</v>
      </c>
      <c r="P27" s="3">
        <f>SUM(C27:O27)</f>
        <v>5586</v>
      </c>
      <c r="Q27" s="3">
        <f t="shared" si="0"/>
        <v>349358</v>
      </c>
    </row>
    <row r="28" spans="1:17" x14ac:dyDescent="0.3">
      <c r="A28" s="3">
        <v>19</v>
      </c>
      <c r="B28" s="3" t="s">
        <v>29</v>
      </c>
      <c r="C28" s="2">
        <v>1578</v>
      </c>
      <c r="D28" s="2">
        <v>1935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526</v>
      </c>
      <c r="K28" s="2">
        <v>908</v>
      </c>
      <c r="L28" s="2">
        <v>0</v>
      </c>
      <c r="M28" s="2">
        <v>0</v>
      </c>
      <c r="N28" s="2">
        <v>0</v>
      </c>
      <c r="O28" s="2">
        <v>444</v>
      </c>
      <c r="P28" s="3">
        <f>SUM(C28:O28)</f>
        <v>5391</v>
      </c>
      <c r="Q28" s="3">
        <f t="shared" si="0"/>
        <v>354749</v>
      </c>
    </row>
    <row r="29" spans="1:17" x14ac:dyDescent="0.3">
      <c r="A29" s="3">
        <v>20</v>
      </c>
      <c r="B29" s="3" t="s">
        <v>30</v>
      </c>
      <c r="C29" s="2">
        <v>2361</v>
      </c>
      <c r="D29" s="2">
        <v>1748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1837</v>
      </c>
      <c r="K29" s="2">
        <v>1054</v>
      </c>
      <c r="L29" s="2">
        <v>0</v>
      </c>
      <c r="M29" s="2">
        <v>0</v>
      </c>
      <c r="N29" s="2">
        <v>0</v>
      </c>
      <c r="O29" s="2">
        <v>140</v>
      </c>
      <c r="P29" s="3">
        <f>SUM(C29:O29)</f>
        <v>7140</v>
      </c>
      <c r="Q29" s="3">
        <f t="shared" si="0"/>
        <v>361889</v>
      </c>
    </row>
    <row r="30" spans="1:17" x14ac:dyDescent="0.3">
      <c r="A30" s="3">
        <v>21</v>
      </c>
      <c r="B30" s="3" t="s">
        <v>31</v>
      </c>
      <c r="C30" s="2">
        <v>490</v>
      </c>
      <c r="D30" s="2">
        <v>1543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1168</v>
      </c>
      <c r="K30" s="2">
        <v>1287</v>
      </c>
      <c r="L30" s="2">
        <v>0</v>
      </c>
      <c r="M30" s="2">
        <v>0</v>
      </c>
      <c r="N30" s="2">
        <v>0</v>
      </c>
      <c r="O30" s="2">
        <v>0</v>
      </c>
      <c r="P30" s="3">
        <f>SUM(C30:O30)</f>
        <v>4488</v>
      </c>
      <c r="Q30" s="3">
        <f t="shared" si="0"/>
        <v>366377</v>
      </c>
    </row>
    <row r="31" spans="1:17" x14ac:dyDescent="0.3">
      <c r="A31" s="3">
        <v>22</v>
      </c>
      <c r="B31" s="3" t="s">
        <v>32</v>
      </c>
      <c r="C31" s="2">
        <v>1875</v>
      </c>
      <c r="D31" s="2">
        <v>2348</v>
      </c>
      <c r="E31" s="2">
        <v>480</v>
      </c>
      <c r="F31" s="2">
        <v>0</v>
      </c>
      <c r="G31" s="2">
        <v>0</v>
      </c>
      <c r="H31" s="2">
        <v>0</v>
      </c>
      <c r="I31" s="2">
        <v>0</v>
      </c>
      <c r="J31" s="2">
        <v>2391</v>
      </c>
      <c r="K31" s="2">
        <v>1426</v>
      </c>
      <c r="L31" s="2">
        <v>0</v>
      </c>
      <c r="M31" s="2">
        <v>0</v>
      </c>
      <c r="N31" s="2">
        <v>0</v>
      </c>
      <c r="O31" s="2">
        <v>4660</v>
      </c>
      <c r="P31" s="3">
        <f>SUM(C31:O31)</f>
        <v>13180</v>
      </c>
      <c r="Q31" s="3">
        <f t="shared" si="0"/>
        <v>379557</v>
      </c>
    </row>
    <row r="32" spans="1:17" x14ac:dyDescent="0.3">
      <c r="A32" s="3">
        <v>23</v>
      </c>
      <c r="B32" s="3" t="s">
        <v>33</v>
      </c>
      <c r="C32" s="2">
        <v>1154</v>
      </c>
      <c r="D32" s="2">
        <v>2091</v>
      </c>
      <c r="E32" s="2">
        <v>0</v>
      </c>
      <c r="F32" s="2">
        <v>0</v>
      </c>
      <c r="G32" s="2">
        <v>2</v>
      </c>
      <c r="H32" s="2">
        <v>0</v>
      </c>
      <c r="I32" s="2">
        <v>0</v>
      </c>
      <c r="J32" s="2">
        <v>1154</v>
      </c>
      <c r="K32" s="2">
        <v>766</v>
      </c>
      <c r="L32" s="2">
        <v>0</v>
      </c>
      <c r="M32" s="2">
        <v>0</v>
      </c>
      <c r="N32" s="2">
        <v>0</v>
      </c>
      <c r="O32" s="2">
        <v>10566</v>
      </c>
      <c r="P32" s="3">
        <f>SUM(C32:O32)</f>
        <v>15733</v>
      </c>
      <c r="Q32" s="3">
        <f t="shared" si="0"/>
        <v>395290</v>
      </c>
    </row>
    <row r="33" spans="1:17" x14ac:dyDescent="0.3">
      <c r="A33" s="3">
        <v>24</v>
      </c>
      <c r="B33" s="3" t="s">
        <v>34</v>
      </c>
      <c r="C33" s="2">
        <v>1570</v>
      </c>
      <c r="D33" s="2">
        <v>1934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1035</v>
      </c>
      <c r="K33" s="2">
        <v>733</v>
      </c>
      <c r="L33" s="2">
        <v>0</v>
      </c>
      <c r="M33" s="2">
        <v>0</v>
      </c>
      <c r="N33" s="2">
        <v>0</v>
      </c>
      <c r="O33" s="2">
        <v>12595</v>
      </c>
      <c r="P33" s="3">
        <f>SUM(C33:O33)</f>
        <v>17867</v>
      </c>
      <c r="Q33" s="3">
        <f t="shared" si="0"/>
        <v>413157</v>
      </c>
    </row>
    <row r="34" spans="1:17" x14ac:dyDescent="0.3">
      <c r="A34" s="3">
        <v>25</v>
      </c>
      <c r="B34" s="3" t="s">
        <v>35</v>
      </c>
      <c r="C34" s="2">
        <v>480</v>
      </c>
      <c r="D34" s="2">
        <v>3702</v>
      </c>
      <c r="E34" s="2">
        <v>0</v>
      </c>
      <c r="F34" s="2">
        <v>0</v>
      </c>
      <c r="G34" s="2">
        <v>3</v>
      </c>
      <c r="H34" s="2">
        <v>0</v>
      </c>
      <c r="I34" s="2">
        <v>0</v>
      </c>
      <c r="J34" s="2">
        <v>1388</v>
      </c>
      <c r="K34" s="2">
        <v>1492</v>
      </c>
      <c r="L34" s="2">
        <v>0</v>
      </c>
      <c r="M34" s="2">
        <v>0</v>
      </c>
      <c r="N34" s="2">
        <v>0</v>
      </c>
      <c r="O34" s="2">
        <v>12882</v>
      </c>
      <c r="P34" s="3">
        <f>SUM(C34:O34)</f>
        <v>19947</v>
      </c>
      <c r="Q34" s="3">
        <f t="shared" si="0"/>
        <v>433104</v>
      </c>
    </row>
    <row r="35" spans="1:17" x14ac:dyDescent="0.3">
      <c r="A35" s="3">
        <v>26</v>
      </c>
      <c r="B35" s="3" t="s">
        <v>36</v>
      </c>
      <c r="C35" s="2">
        <v>997</v>
      </c>
      <c r="D35" s="2">
        <v>2146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2208</v>
      </c>
      <c r="K35" s="2">
        <v>1123</v>
      </c>
      <c r="L35" s="2">
        <v>0</v>
      </c>
      <c r="M35" s="2">
        <v>0</v>
      </c>
      <c r="N35" s="2">
        <v>0</v>
      </c>
      <c r="O35" s="2">
        <v>11572</v>
      </c>
      <c r="P35" s="3">
        <f>SUM(C35:O35)</f>
        <v>18046</v>
      </c>
      <c r="Q35" s="3">
        <f t="shared" si="0"/>
        <v>451150</v>
      </c>
    </row>
    <row r="36" spans="1:17" x14ac:dyDescent="0.3">
      <c r="A36" s="3">
        <v>27</v>
      </c>
      <c r="B36" s="3" t="s">
        <v>37</v>
      </c>
      <c r="C36" s="2">
        <v>651</v>
      </c>
      <c r="D36" s="2">
        <v>2231</v>
      </c>
      <c r="E36" s="2">
        <v>0</v>
      </c>
      <c r="F36" s="2">
        <v>0</v>
      </c>
      <c r="G36" s="2">
        <v>0</v>
      </c>
      <c r="H36" s="2">
        <v>796</v>
      </c>
      <c r="I36" s="2">
        <v>0</v>
      </c>
      <c r="J36" s="2">
        <v>1169</v>
      </c>
      <c r="K36" s="2">
        <v>1034</v>
      </c>
      <c r="L36" s="2">
        <v>0</v>
      </c>
      <c r="M36" s="2">
        <v>0</v>
      </c>
      <c r="N36" s="2">
        <v>0</v>
      </c>
      <c r="O36" s="2">
        <v>12217</v>
      </c>
      <c r="P36" s="3">
        <f>SUM(C36:O36)</f>
        <v>18098</v>
      </c>
      <c r="Q36" s="3">
        <f t="shared" si="0"/>
        <v>469248</v>
      </c>
    </row>
    <row r="37" spans="1:17" x14ac:dyDescent="0.3">
      <c r="A37" s="3">
        <v>28</v>
      </c>
      <c r="B37" s="3" t="s">
        <v>38</v>
      </c>
      <c r="C37" s="2">
        <v>35</v>
      </c>
      <c r="D37" s="2">
        <v>2817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1435</v>
      </c>
      <c r="K37" s="2">
        <v>176</v>
      </c>
      <c r="L37" s="2">
        <v>0</v>
      </c>
      <c r="M37" s="2">
        <v>0</v>
      </c>
      <c r="N37" s="2">
        <v>0</v>
      </c>
      <c r="O37" s="2">
        <v>15151</v>
      </c>
      <c r="P37" s="3">
        <f>SUM(C37:O37)</f>
        <v>19614</v>
      </c>
      <c r="Q37" s="3">
        <f t="shared" si="0"/>
        <v>488862</v>
      </c>
    </row>
    <row r="38" spans="1:17" x14ac:dyDescent="0.3">
      <c r="A38" s="3">
        <v>29</v>
      </c>
      <c r="B38" s="3" t="s">
        <v>39</v>
      </c>
      <c r="C38" s="2">
        <v>737</v>
      </c>
      <c r="D38" s="2">
        <v>2906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2513</v>
      </c>
      <c r="K38" s="2">
        <v>139</v>
      </c>
      <c r="L38" s="2">
        <v>0</v>
      </c>
      <c r="M38" s="2">
        <v>0</v>
      </c>
      <c r="N38" s="2">
        <v>0</v>
      </c>
      <c r="O38" s="2">
        <v>13908</v>
      </c>
      <c r="P38" s="3">
        <f>SUM(C38:O38)</f>
        <v>20203</v>
      </c>
      <c r="Q38" s="3">
        <f t="shared" si="0"/>
        <v>509065</v>
      </c>
    </row>
    <row r="39" spans="1:17" x14ac:dyDescent="0.3">
      <c r="A39" s="3">
        <v>30</v>
      </c>
      <c r="B39" s="3" t="s">
        <v>40</v>
      </c>
      <c r="C39" s="2">
        <v>1522</v>
      </c>
      <c r="D39" s="2">
        <v>2709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2056</v>
      </c>
      <c r="K39" s="2">
        <v>943</v>
      </c>
      <c r="L39" s="2">
        <v>0</v>
      </c>
      <c r="M39" s="2">
        <v>0</v>
      </c>
      <c r="N39" s="2">
        <v>0</v>
      </c>
      <c r="O39" s="2">
        <v>11527</v>
      </c>
      <c r="P39" s="3">
        <f>SUM(C39:O39)</f>
        <v>18757</v>
      </c>
      <c r="Q39" s="3">
        <f t="shared" si="0"/>
        <v>527822</v>
      </c>
    </row>
    <row r="40" spans="1:17" x14ac:dyDescent="0.3">
      <c r="A40" s="3">
        <v>31</v>
      </c>
      <c r="B40" s="3" t="s">
        <v>41</v>
      </c>
      <c r="C40" s="2">
        <v>407</v>
      </c>
      <c r="D40" s="2">
        <v>2900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2051</v>
      </c>
      <c r="K40" s="2">
        <v>1152</v>
      </c>
      <c r="L40" s="2">
        <v>999</v>
      </c>
      <c r="M40" s="2">
        <v>0</v>
      </c>
      <c r="N40" s="2">
        <v>0</v>
      </c>
      <c r="O40" s="2">
        <v>11707</v>
      </c>
      <c r="P40" s="3">
        <f>SUM(C40:O40)</f>
        <v>19216</v>
      </c>
      <c r="Q40" s="3">
        <f t="shared" si="0"/>
        <v>547038</v>
      </c>
    </row>
    <row r="41" spans="1:17" x14ac:dyDescent="0.3">
      <c r="A41" s="3">
        <v>32</v>
      </c>
      <c r="B41" s="3" t="s">
        <v>42</v>
      </c>
      <c r="C41" s="2">
        <v>544</v>
      </c>
      <c r="D41" s="2">
        <v>1622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1035</v>
      </c>
      <c r="K41" s="2">
        <v>1206</v>
      </c>
      <c r="L41" s="2">
        <v>0</v>
      </c>
      <c r="M41" s="2">
        <v>0</v>
      </c>
      <c r="N41" s="2">
        <v>0</v>
      </c>
      <c r="O41" s="2">
        <v>9325</v>
      </c>
      <c r="P41" s="3">
        <f>SUM(C41:O41)</f>
        <v>13732</v>
      </c>
      <c r="Q41" s="3">
        <f t="shared" si="0"/>
        <v>560770</v>
      </c>
    </row>
    <row r="42" spans="1:17" x14ac:dyDescent="0.3">
      <c r="A42" s="3">
        <v>33</v>
      </c>
      <c r="B42" s="3" t="s">
        <v>43</v>
      </c>
      <c r="C42" s="2">
        <v>336</v>
      </c>
      <c r="D42" s="2">
        <v>3373</v>
      </c>
      <c r="E42" s="2">
        <v>0</v>
      </c>
      <c r="F42" s="2">
        <v>0</v>
      </c>
      <c r="G42" s="2">
        <v>0</v>
      </c>
      <c r="H42" s="2">
        <v>0</v>
      </c>
      <c r="I42" s="2">
        <v>16504</v>
      </c>
      <c r="J42" s="2">
        <v>1565</v>
      </c>
      <c r="K42" s="2">
        <v>2433</v>
      </c>
      <c r="L42" s="2">
        <v>0</v>
      </c>
      <c r="M42" s="2">
        <v>0</v>
      </c>
      <c r="N42" s="2">
        <v>0</v>
      </c>
      <c r="O42" s="2">
        <v>8265</v>
      </c>
      <c r="P42" s="3">
        <f>SUM(C42:O42)</f>
        <v>32476</v>
      </c>
      <c r="Q42" s="3">
        <f t="shared" si="0"/>
        <v>593246</v>
      </c>
    </row>
    <row r="43" spans="1:17" x14ac:dyDescent="0.3">
      <c r="A43" s="3">
        <v>34</v>
      </c>
      <c r="B43" s="3" t="s">
        <v>44</v>
      </c>
      <c r="C43" s="2">
        <v>408</v>
      </c>
      <c r="D43" s="2">
        <v>3278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1296</v>
      </c>
      <c r="K43" s="2">
        <v>1640</v>
      </c>
      <c r="L43" s="2">
        <v>0</v>
      </c>
      <c r="M43" s="2">
        <v>0</v>
      </c>
      <c r="N43" s="2">
        <v>0</v>
      </c>
      <c r="O43" s="2">
        <v>6520</v>
      </c>
      <c r="P43" s="3">
        <f>SUM(C43:O43)</f>
        <v>13142</v>
      </c>
      <c r="Q43" s="3">
        <f t="shared" ref="Q43:Q74" si="1">P43+Q42</f>
        <v>606388</v>
      </c>
    </row>
    <row r="44" spans="1:17" x14ac:dyDescent="0.3">
      <c r="A44" s="3">
        <v>35</v>
      </c>
      <c r="B44" s="3" t="s">
        <v>45</v>
      </c>
      <c r="C44" s="2">
        <v>1165</v>
      </c>
      <c r="D44" s="2">
        <v>762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768</v>
      </c>
      <c r="K44" s="2">
        <v>30</v>
      </c>
      <c r="L44" s="2">
        <v>0</v>
      </c>
      <c r="M44" s="2">
        <v>0</v>
      </c>
      <c r="N44" s="2">
        <v>0</v>
      </c>
      <c r="O44" s="2">
        <v>2699</v>
      </c>
      <c r="P44" s="3">
        <f>SUM(C44:O44)</f>
        <v>5424</v>
      </c>
      <c r="Q44" s="3">
        <f t="shared" si="1"/>
        <v>611812</v>
      </c>
    </row>
    <row r="45" spans="1:17" x14ac:dyDescent="0.3">
      <c r="A45" s="3">
        <v>36</v>
      </c>
      <c r="B45" s="3" t="s">
        <v>46</v>
      </c>
      <c r="C45" s="2">
        <v>0</v>
      </c>
      <c r="D45" s="2">
        <v>1504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633</v>
      </c>
      <c r="K45" s="2">
        <v>0</v>
      </c>
      <c r="L45" s="2">
        <v>0</v>
      </c>
      <c r="M45" s="2">
        <v>0</v>
      </c>
      <c r="N45" s="2">
        <v>0</v>
      </c>
      <c r="O45" s="2">
        <v>2747</v>
      </c>
      <c r="P45" s="3">
        <f>SUM(C45:O45)</f>
        <v>4884</v>
      </c>
      <c r="Q45" s="3">
        <f t="shared" si="1"/>
        <v>616696</v>
      </c>
    </row>
    <row r="46" spans="1:17" x14ac:dyDescent="0.3">
      <c r="A46" s="3">
        <v>37</v>
      </c>
      <c r="B46" s="3" t="s">
        <v>47</v>
      </c>
      <c r="C46" s="2">
        <v>138</v>
      </c>
      <c r="D46" s="2">
        <v>2678</v>
      </c>
      <c r="E46" s="2">
        <v>0</v>
      </c>
      <c r="F46" s="2">
        <v>0</v>
      </c>
      <c r="G46" s="2">
        <v>4</v>
      </c>
      <c r="H46" s="2">
        <v>0</v>
      </c>
      <c r="I46" s="2">
        <v>0</v>
      </c>
      <c r="J46" s="2">
        <v>2220</v>
      </c>
      <c r="K46" s="2">
        <v>1676</v>
      </c>
      <c r="L46" s="2">
        <v>0</v>
      </c>
      <c r="M46" s="2">
        <v>0</v>
      </c>
      <c r="N46" s="2">
        <v>0</v>
      </c>
      <c r="O46" s="2">
        <v>6732</v>
      </c>
      <c r="P46" s="3">
        <f>SUM(C46:O46)</f>
        <v>13448</v>
      </c>
      <c r="Q46" s="3">
        <f t="shared" si="1"/>
        <v>630144</v>
      </c>
    </row>
    <row r="47" spans="1:17" x14ac:dyDescent="0.3">
      <c r="A47" s="3">
        <v>38</v>
      </c>
      <c r="B47" s="3" t="s">
        <v>48</v>
      </c>
      <c r="C47" s="2">
        <v>69</v>
      </c>
      <c r="D47" s="2">
        <v>2589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2374</v>
      </c>
      <c r="K47" s="2">
        <v>1577</v>
      </c>
      <c r="L47" s="2">
        <v>0</v>
      </c>
      <c r="M47" s="2">
        <v>0</v>
      </c>
      <c r="N47" s="2">
        <v>0</v>
      </c>
      <c r="O47" s="2">
        <v>7960</v>
      </c>
      <c r="P47" s="3">
        <f>SUM(C47:O47)</f>
        <v>14569</v>
      </c>
      <c r="Q47" s="3">
        <f t="shared" si="1"/>
        <v>644713</v>
      </c>
    </row>
    <row r="48" spans="1:17" x14ac:dyDescent="0.3">
      <c r="A48" s="3">
        <v>39</v>
      </c>
      <c r="B48" s="3" t="s">
        <v>49</v>
      </c>
      <c r="C48" s="2">
        <v>292</v>
      </c>
      <c r="D48" s="2">
        <v>2302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2138</v>
      </c>
      <c r="K48" s="2">
        <v>1427</v>
      </c>
      <c r="L48" s="2">
        <v>975</v>
      </c>
      <c r="M48" s="2">
        <v>0</v>
      </c>
      <c r="N48" s="2">
        <v>0</v>
      </c>
      <c r="O48" s="2">
        <v>9114</v>
      </c>
      <c r="P48" s="3">
        <f>SUM(C48:O48)</f>
        <v>16248</v>
      </c>
      <c r="Q48" s="3">
        <f t="shared" si="1"/>
        <v>660961</v>
      </c>
    </row>
    <row r="49" spans="1:17" x14ac:dyDescent="0.3">
      <c r="A49" s="3">
        <v>40</v>
      </c>
      <c r="B49" s="3" t="s">
        <v>50</v>
      </c>
      <c r="C49" s="2">
        <v>784</v>
      </c>
      <c r="D49" s="2">
        <v>2060</v>
      </c>
      <c r="E49" s="2">
        <v>0</v>
      </c>
      <c r="F49" s="2">
        <v>0</v>
      </c>
      <c r="G49" s="2">
        <v>7</v>
      </c>
      <c r="H49" s="2">
        <v>357</v>
      </c>
      <c r="I49" s="2">
        <v>0</v>
      </c>
      <c r="J49" s="2">
        <v>3431</v>
      </c>
      <c r="K49" s="2">
        <v>1173</v>
      </c>
      <c r="L49" s="2">
        <v>0</v>
      </c>
      <c r="M49" s="2">
        <v>0</v>
      </c>
      <c r="N49" s="2">
        <v>0</v>
      </c>
      <c r="O49" s="2">
        <v>7896</v>
      </c>
      <c r="P49" s="3">
        <f>SUM(C49:O49)</f>
        <v>15708</v>
      </c>
      <c r="Q49" s="3">
        <f t="shared" si="1"/>
        <v>676669</v>
      </c>
    </row>
    <row r="50" spans="1:17" x14ac:dyDescent="0.3">
      <c r="A50" s="3">
        <v>41</v>
      </c>
      <c r="B50" s="3" t="s">
        <v>51</v>
      </c>
      <c r="C50" s="2">
        <v>463</v>
      </c>
      <c r="D50" s="2">
        <v>1012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2160</v>
      </c>
      <c r="K50" s="2">
        <v>1794</v>
      </c>
      <c r="L50" s="2">
        <v>0</v>
      </c>
      <c r="M50" s="2">
        <v>0</v>
      </c>
      <c r="N50" s="2">
        <v>0</v>
      </c>
      <c r="O50" s="2">
        <v>7748</v>
      </c>
      <c r="P50" s="3">
        <f>SUM(C50:O50)</f>
        <v>13177</v>
      </c>
      <c r="Q50" s="3">
        <f t="shared" si="1"/>
        <v>689846</v>
      </c>
    </row>
    <row r="51" spans="1:17" x14ac:dyDescent="0.3">
      <c r="A51" s="3">
        <v>42</v>
      </c>
      <c r="B51" s="3" t="s">
        <v>52</v>
      </c>
      <c r="C51" s="2">
        <v>105</v>
      </c>
      <c r="D51" s="2">
        <v>1414</v>
      </c>
      <c r="E51" s="2">
        <v>0</v>
      </c>
      <c r="F51" s="2">
        <v>0</v>
      </c>
      <c r="G51" s="2">
        <v>390</v>
      </c>
      <c r="H51" s="2">
        <v>0</v>
      </c>
      <c r="I51" s="2">
        <v>0</v>
      </c>
      <c r="J51" s="2">
        <v>2966</v>
      </c>
      <c r="K51" s="2">
        <v>510</v>
      </c>
      <c r="L51" s="2">
        <v>0</v>
      </c>
      <c r="M51" s="2">
        <v>0</v>
      </c>
      <c r="N51" s="2">
        <v>0</v>
      </c>
      <c r="O51" s="2">
        <v>5647</v>
      </c>
      <c r="P51" s="3">
        <f>SUM(C51:O51)</f>
        <v>11032</v>
      </c>
      <c r="Q51" s="3">
        <f t="shared" si="1"/>
        <v>700878</v>
      </c>
    </row>
    <row r="52" spans="1:17" x14ac:dyDescent="0.3">
      <c r="A52" s="3">
        <v>43</v>
      </c>
      <c r="B52" s="3" t="s">
        <v>53</v>
      </c>
      <c r="C52" s="2">
        <v>100</v>
      </c>
      <c r="D52" s="2">
        <v>1955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2680</v>
      </c>
      <c r="K52" s="2">
        <v>1385</v>
      </c>
      <c r="L52" s="2">
        <v>962</v>
      </c>
      <c r="M52" s="2">
        <v>0</v>
      </c>
      <c r="N52" s="2">
        <v>0</v>
      </c>
      <c r="O52" s="2">
        <v>4973</v>
      </c>
      <c r="P52" s="3">
        <f>SUM(C52:O52)</f>
        <v>12055</v>
      </c>
      <c r="Q52" s="3">
        <f t="shared" si="1"/>
        <v>712933</v>
      </c>
    </row>
    <row r="53" spans="1:17" x14ac:dyDescent="0.3">
      <c r="A53" s="3">
        <v>44</v>
      </c>
      <c r="B53" s="3" t="s">
        <v>54</v>
      </c>
      <c r="C53" s="2">
        <v>414</v>
      </c>
      <c r="D53" s="2">
        <v>1106</v>
      </c>
      <c r="E53" s="2">
        <v>0</v>
      </c>
      <c r="F53" s="2">
        <v>0</v>
      </c>
      <c r="G53" s="2">
        <v>203</v>
      </c>
      <c r="H53" s="2">
        <v>177</v>
      </c>
      <c r="I53" s="2">
        <v>0</v>
      </c>
      <c r="J53" s="2">
        <v>2778</v>
      </c>
      <c r="K53" s="2">
        <v>1434</v>
      </c>
      <c r="L53" s="2">
        <v>1011</v>
      </c>
      <c r="M53" s="2">
        <v>0</v>
      </c>
      <c r="N53" s="2">
        <v>0</v>
      </c>
      <c r="O53" s="2">
        <v>7416</v>
      </c>
      <c r="P53" s="3">
        <f>SUM(C53:O53)</f>
        <v>14539</v>
      </c>
      <c r="Q53" s="3">
        <f t="shared" si="1"/>
        <v>727472</v>
      </c>
    </row>
    <row r="54" spans="1:17" x14ac:dyDescent="0.3">
      <c r="A54" s="3">
        <v>45</v>
      </c>
      <c r="B54" s="3" t="s">
        <v>55</v>
      </c>
      <c r="C54" s="2">
        <v>206</v>
      </c>
      <c r="D54" s="2">
        <v>1166</v>
      </c>
      <c r="E54" s="2">
        <v>0</v>
      </c>
      <c r="F54" s="2">
        <v>0</v>
      </c>
      <c r="G54" s="2">
        <v>319</v>
      </c>
      <c r="H54" s="2">
        <v>0</v>
      </c>
      <c r="I54" s="2">
        <v>0</v>
      </c>
      <c r="J54" s="2">
        <v>1619</v>
      </c>
      <c r="K54" s="2">
        <v>1629</v>
      </c>
      <c r="L54" s="2">
        <v>0</v>
      </c>
      <c r="M54" s="2">
        <v>0</v>
      </c>
      <c r="N54" s="2">
        <v>0</v>
      </c>
      <c r="O54" s="2">
        <v>7142</v>
      </c>
      <c r="P54" s="3">
        <f>SUM(C54:O54)</f>
        <v>12081</v>
      </c>
      <c r="Q54" s="3">
        <f t="shared" si="1"/>
        <v>739553</v>
      </c>
    </row>
    <row r="55" spans="1:17" x14ac:dyDescent="0.3">
      <c r="A55" s="3">
        <v>46</v>
      </c>
      <c r="B55" s="3" t="s">
        <v>56</v>
      </c>
      <c r="C55" s="2">
        <v>198</v>
      </c>
      <c r="D55" s="2">
        <v>2336</v>
      </c>
      <c r="E55" s="2">
        <v>0</v>
      </c>
      <c r="F55" s="2">
        <v>0</v>
      </c>
      <c r="G55" s="2">
        <v>113</v>
      </c>
      <c r="H55" s="2">
        <v>0</v>
      </c>
      <c r="I55" s="2">
        <v>16509</v>
      </c>
      <c r="J55" s="2">
        <v>1440</v>
      </c>
      <c r="K55" s="2">
        <v>829</v>
      </c>
      <c r="L55" s="2">
        <v>0</v>
      </c>
      <c r="M55" s="2">
        <v>0</v>
      </c>
      <c r="N55" s="2">
        <v>0</v>
      </c>
      <c r="O55" s="2">
        <v>8620</v>
      </c>
      <c r="P55" s="3">
        <f>SUM(C55:O55)</f>
        <v>30045</v>
      </c>
      <c r="Q55" s="3">
        <f t="shared" si="1"/>
        <v>769598</v>
      </c>
    </row>
    <row r="56" spans="1:17" x14ac:dyDescent="0.3">
      <c r="A56" s="3">
        <v>47</v>
      </c>
      <c r="B56" s="3" t="s">
        <v>57</v>
      </c>
      <c r="C56" s="2">
        <v>171</v>
      </c>
      <c r="D56" s="2">
        <v>1451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1677</v>
      </c>
      <c r="K56" s="2">
        <v>902</v>
      </c>
      <c r="L56" s="2">
        <v>0</v>
      </c>
      <c r="M56" s="2">
        <v>0</v>
      </c>
      <c r="N56" s="2">
        <v>0</v>
      </c>
      <c r="O56" s="2">
        <v>9427</v>
      </c>
      <c r="P56" s="3">
        <f>SUM(C56:O56)</f>
        <v>13628</v>
      </c>
      <c r="Q56" s="3">
        <f t="shared" si="1"/>
        <v>783226</v>
      </c>
    </row>
    <row r="57" spans="1:17" x14ac:dyDescent="0.3">
      <c r="A57" s="3">
        <v>48</v>
      </c>
      <c r="B57" s="3" t="s">
        <v>58</v>
      </c>
      <c r="C57" s="2">
        <v>226</v>
      </c>
      <c r="D57" s="2">
        <v>2584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831</v>
      </c>
      <c r="K57" s="2">
        <v>1916</v>
      </c>
      <c r="L57" s="2">
        <v>0</v>
      </c>
      <c r="M57" s="2">
        <v>0</v>
      </c>
      <c r="N57" s="2">
        <v>0</v>
      </c>
      <c r="O57" s="2">
        <v>10957</v>
      </c>
      <c r="P57" s="3">
        <f>SUM(C57:O57)</f>
        <v>16514</v>
      </c>
      <c r="Q57" s="3">
        <f t="shared" si="1"/>
        <v>799740</v>
      </c>
    </row>
    <row r="58" spans="1:17" x14ac:dyDescent="0.3">
      <c r="A58" s="3">
        <v>49</v>
      </c>
      <c r="B58" s="3" t="s">
        <v>59</v>
      </c>
      <c r="C58" s="2">
        <v>244</v>
      </c>
      <c r="D58" s="2">
        <v>1623</v>
      </c>
      <c r="E58" s="2">
        <v>0</v>
      </c>
      <c r="F58" s="2">
        <v>0</v>
      </c>
      <c r="G58" s="2">
        <v>6</v>
      </c>
      <c r="H58" s="2">
        <v>0</v>
      </c>
      <c r="I58" s="2">
        <v>0</v>
      </c>
      <c r="J58" s="2">
        <v>943</v>
      </c>
      <c r="K58" s="2">
        <v>1264</v>
      </c>
      <c r="L58" s="2">
        <v>0</v>
      </c>
      <c r="M58" s="2">
        <v>0</v>
      </c>
      <c r="N58" s="2">
        <v>0</v>
      </c>
      <c r="O58" s="2">
        <v>9700</v>
      </c>
      <c r="P58" s="3">
        <f>SUM(C58:O58)</f>
        <v>13780</v>
      </c>
      <c r="Q58" s="3">
        <f t="shared" si="1"/>
        <v>813520</v>
      </c>
    </row>
    <row r="59" spans="1:17" x14ac:dyDescent="0.3">
      <c r="A59" s="3">
        <v>50</v>
      </c>
      <c r="B59" s="3" t="s">
        <v>60</v>
      </c>
      <c r="C59" s="2">
        <v>209</v>
      </c>
      <c r="D59" s="2">
        <v>2003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1112</v>
      </c>
      <c r="K59" s="2">
        <v>1421</v>
      </c>
      <c r="L59" s="2">
        <v>0</v>
      </c>
      <c r="M59" s="2">
        <v>0</v>
      </c>
      <c r="N59" s="2">
        <v>0</v>
      </c>
      <c r="O59" s="2">
        <v>6203</v>
      </c>
      <c r="P59" s="3">
        <f>SUM(C59:O59)</f>
        <v>10948</v>
      </c>
      <c r="Q59" s="3">
        <f t="shared" si="1"/>
        <v>824468</v>
      </c>
    </row>
    <row r="60" spans="1:17" x14ac:dyDescent="0.3">
      <c r="A60" s="3">
        <v>51</v>
      </c>
      <c r="B60" s="3" t="s">
        <v>61</v>
      </c>
      <c r="C60" s="2">
        <v>69</v>
      </c>
      <c r="D60" s="2">
        <v>2258</v>
      </c>
      <c r="E60" s="2">
        <v>0</v>
      </c>
      <c r="F60" s="2">
        <v>0</v>
      </c>
      <c r="G60" s="2">
        <v>3</v>
      </c>
      <c r="H60" s="2">
        <v>0</v>
      </c>
      <c r="I60" s="2">
        <v>0</v>
      </c>
      <c r="J60" s="2">
        <v>1635</v>
      </c>
      <c r="K60" s="2">
        <v>1452</v>
      </c>
      <c r="L60" s="2">
        <v>0</v>
      </c>
      <c r="M60" s="2">
        <v>0</v>
      </c>
      <c r="N60" s="2">
        <v>0</v>
      </c>
      <c r="O60" s="2">
        <v>8336</v>
      </c>
      <c r="P60" s="3">
        <f>SUM(C60:O60)</f>
        <v>13753</v>
      </c>
      <c r="Q60" s="3">
        <f t="shared" si="1"/>
        <v>838221</v>
      </c>
    </row>
    <row r="61" spans="1:17" x14ac:dyDescent="0.3">
      <c r="A61" s="3" t="s">
        <v>2</v>
      </c>
      <c r="B61" s="3" t="s">
        <v>62</v>
      </c>
      <c r="C61" s="3">
        <f t="shared" ref="C61:O61" si="2">SUM(C10:C60)</f>
        <v>42132</v>
      </c>
      <c r="D61" s="3">
        <f t="shared" si="2"/>
        <v>106657</v>
      </c>
      <c r="E61" s="3">
        <f t="shared" si="2"/>
        <v>480</v>
      </c>
      <c r="F61" s="3">
        <f t="shared" si="2"/>
        <v>47633</v>
      </c>
      <c r="G61" s="3">
        <f t="shared" si="2"/>
        <v>1779</v>
      </c>
      <c r="H61" s="3">
        <f t="shared" si="2"/>
        <v>1330</v>
      </c>
      <c r="I61" s="3">
        <f t="shared" si="2"/>
        <v>33013</v>
      </c>
      <c r="J61" s="3">
        <f t="shared" si="2"/>
        <v>90486</v>
      </c>
      <c r="K61" s="3">
        <f t="shared" si="2"/>
        <v>56522</v>
      </c>
      <c r="L61" s="3">
        <f t="shared" si="2"/>
        <v>4660</v>
      </c>
      <c r="M61" s="3">
        <f t="shared" si="2"/>
        <v>50255</v>
      </c>
      <c r="N61" s="3">
        <f t="shared" si="2"/>
        <v>109120</v>
      </c>
      <c r="O61" s="3">
        <f t="shared" si="2"/>
        <v>294154</v>
      </c>
      <c r="P61" s="3">
        <f>SUM(P10:P60)</f>
        <v>838221</v>
      </c>
      <c r="Q61" s="3"/>
    </row>
  </sheetData>
  <mergeCells count="3">
    <mergeCell ref="A6:Q6"/>
    <mergeCell ref="A7:Q7"/>
    <mergeCell ref="A8:Q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D61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4" width="31" customWidth="1"/>
  </cols>
  <sheetData>
    <row r="6" spans="1:4" ht="15.6" x14ac:dyDescent="0.3">
      <c r="A6" s="4" t="s">
        <v>72</v>
      </c>
      <c r="B6" s="5"/>
      <c r="C6" s="5"/>
      <c r="D6" s="6"/>
    </row>
    <row r="7" spans="1:4" ht="15.6" x14ac:dyDescent="0.3">
      <c r="A7" s="4" t="s">
        <v>73</v>
      </c>
      <c r="B7" s="5"/>
      <c r="C7" s="5"/>
      <c r="D7" s="6"/>
    </row>
    <row r="8" spans="1:4" x14ac:dyDescent="0.3">
      <c r="A8" s="7" t="s">
        <v>2</v>
      </c>
      <c r="B8" s="8"/>
      <c r="C8" s="8"/>
      <c r="D8" s="9"/>
    </row>
    <row r="9" spans="1:4" x14ac:dyDescent="0.3">
      <c r="A9" s="1"/>
      <c r="B9" s="1" t="s">
        <v>3</v>
      </c>
      <c r="C9" s="1" t="s">
        <v>96</v>
      </c>
      <c r="D9" s="1" t="s">
        <v>97</v>
      </c>
    </row>
    <row r="10" spans="1:4" x14ac:dyDescent="0.3">
      <c r="A10" s="3">
        <v>1</v>
      </c>
      <c r="B10" s="3" t="s">
        <v>11</v>
      </c>
      <c r="C10" s="3">
        <f>SUM(B10:B10)</f>
        <v>0</v>
      </c>
      <c r="D10" s="3">
        <f>C10</f>
        <v>0</v>
      </c>
    </row>
    <row r="11" spans="1:4" x14ac:dyDescent="0.3">
      <c r="A11" s="3">
        <v>2</v>
      </c>
      <c r="B11" s="3" t="s">
        <v>12</v>
      </c>
      <c r="C11" s="3">
        <f>SUM(B11:B11)</f>
        <v>0</v>
      </c>
      <c r="D11" s="3">
        <f t="shared" ref="D11:D42" si="0">C11+D10</f>
        <v>0</v>
      </c>
    </row>
    <row r="12" spans="1:4" x14ac:dyDescent="0.3">
      <c r="A12" s="3">
        <v>3</v>
      </c>
      <c r="B12" s="3" t="s">
        <v>13</v>
      </c>
      <c r="C12" s="3">
        <f>SUM(B12:B12)</f>
        <v>0</v>
      </c>
      <c r="D12" s="3">
        <f t="shared" si="0"/>
        <v>0</v>
      </c>
    </row>
    <row r="13" spans="1:4" x14ac:dyDescent="0.3">
      <c r="A13" s="3">
        <v>4</v>
      </c>
      <c r="B13" s="3" t="s">
        <v>14</v>
      </c>
      <c r="C13" s="3">
        <f>SUM(B13:B13)</f>
        <v>0</v>
      </c>
      <c r="D13" s="3">
        <f t="shared" si="0"/>
        <v>0</v>
      </c>
    </row>
    <row r="14" spans="1:4" x14ac:dyDescent="0.3">
      <c r="A14" s="3">
        <v>5</v>
      </c>
      <c r="B14" s="3" t="s">
        <v>15</v>
      </c>
      <c r="C14" s="3">
        <f>SUM(B14:B14)</f>
        <v>0</v>
      </c>
      <c r="D14" s="3">
        <f t="shared" si="0"/>
        <v>0</v>
      </c>
    </row>
    <row r="15" spans="1:4" x14ac:dyDescent="0.3">
      <c r="A15" s="3">
        <v>6</v>
      </c>
      <c r="B15" s="3" t="s">
        <v>16</v>
      </c>
      <c r="C15" s="3">
        <f>SUM(B15:B15)</f>
        <v>0</v>
      </c>
      <c r="D15" s="3">
        <f t="shared" si="0"/>
        <v>0</v>
      </c>
    </row>
    <row r="16" spans="1:4" x14ac:dyDescent="0.3">
      <c r="A16" s="3">
        <v>7</v>
      </c>
      <c r="B16" s="3" t="s">
        <v>17</v>
      </c>
      <c r="C16" s="3">
        <f>SUM(B16:B16)</f>
        <v>0</v>
      </c>
      <c r="D16" s="3">
        <f t="shared" si="0"/>
        <v>0</v>
      </c>
    </row>
    <row r="17" spans="1:4" x14ac:dyDescent="0.3">
      <c r="A17" s="3">
        <v>8</v>
      </c>
      <c r="B17" s="3" t="s">
        <v>18</v>
      </c>
      <c r="C17" s="3">
        <f>SUM(B17:B17)</f>
        <v>0</v>
      </c>
      <c r="D17" s="3">
        <f t="shared" si="0"/>
        <v>0</v>
      </c>
    </row>
    <row r="18" spans="1:4" x14ac:dyDescent="0.3">
      <c r="A18" s="3">
        <v>9</v>
      </c>
      <c r="B18" s="3" t="s">
        <v>19</v>
      </c>
      <c r="C18" s="3">
        <f>SUM(B18:B18)</f>
        <v>0</v>
      </c>
      <c r="D18" s="3">
        <f t="shared" si="0"/>
        <v>0</v>
      </c>
    </row>
    <row r="19" spans="1:4" x14ac:dyDescent="0.3">
      <c r="A19" s="3">
        <v>10</v>
      </c>
      <c r="B19" s="3" t="s">
        <v>20</v>
      </c>
      <c r="C19" s="3">
        <f>SUM(B19:B19)</f>
        <v>0</v>
      </c>
      <c r="D19" s="3">
        <f t="shared" si="0"/>
        <v>0</v>
      </c>
    </row>
    <row r="20" spans="1:4" x14ac:dyDescent="0.3">
      <c r="A20" s="3">
        <v>11</v>
      </c>
      <c r="B20" s="3" t="s">
        <v>21</v>
      </c>
      <c r="C20" s="3">
        <f>SUM(B20:B20)</f>
        <v>0</v>
      </c>
      <c r="D20" s="3">
        <f t="shared" si="0"/>
        <v>0</v>
      </c>
    </row>
    <row r="21" spans="1:4" x14ac:dyDescent="0.3">
      <c r="A21" s="3">
        <v>12</v>
      </c>
      <c r="B21" s="3" t="s">
        <v>22</v>
      </c>
      <c r="C21" s="3">
        <f>SUM(B21:B21)</f>
        <v>0</v>
      </c>
      <c r="D21" s="3">
        <f t="shared" si="0"/>
        <v>0</v>
      </c>
    </row>
    <row r="22" spans="1:4" x14ac:dyDescent="0.3">
      <c r="A22" s="3">
        <v>13</v>
      </c>
      <c r="B22" s="3" t="s">
        <v>23</v>
      </c>
      <c r="C22" s="3">
        <f>SUM(B22:B22)</f>
        <v>0</v>
      </c>
      <c r="D22" s="3">
        <f t="shared" si="0"/>
        <v>0</v>
      </c>
    </row>
    <row r="23" spans="1:4" x14ac:dyDescent="0.3">
      <c r="A23" s="3">
        <v>14</v>
      </c>
      <c r="B23" s="3" t="s">
        <v>24</v>
      </c>
      <c r="C23" s="3">
        <f>SUM(B23:B23)</f>
        <v>0</v>
      </c>
      <c r="D23" s="3">
        <f t="shared" si="0"/>
        <v>0</v>
      </c>
    </row>
    <row r="24" spans="1:4" x14ac:dyDescent="0.3">
      <c r="A24" s="3">
        <v>15</v>
      </c>
      <c r="B24" s="3" t="s">
        <v>25</v>
      </c>
      <c r="C24" s="3">
        <f>SUM(B24:B24)</f>
        <v>0</v>
      </c>
      <c r="D24" s="3">
        <f t="shared" si="0"/>
        <v>0</v>
      </c>
    </row>
    <row r="25" spans="1:4" x14ac:dyDescent="0.3">
      <c r="A25" s="3">
        <v>16</v>
      </c>
      <c r="B25" s="3" t="s">
        <v>26</v>
      </c>
      <c r="C25" s="3">
        <f>SUM(B25:B25)</f>
        <v>0</v>
      </c>
      <c r="D25" s="3">
        <f t="shared" si="0"/>
        <v>0</v>
      </c>
    </row>
    <row r="26" spans="1:4" x14ac:dyDescent="0.3">
      <c r="A26" s="3">
        <v>17</v>
      </c>
      <c r="B26" s="3" t="s">
        <v>27</v>
      </c>
      <c r="C26" s="3">
        <f>SUM(B26:B26)</f>
        <v>0</v>
      </c>
      <c r="D26" s="3">
        <f t="shared" si="0"/>
        <v>0</v>
      </c>
    </row>
    <row r="27" spans="1:4" x14ac:dyDescent="0.3">
      <c r="A27" s="3">
        <v>18</v>
      </c>
      <c r="B27" s="3" t="s">
        <v>28</v>
      </c>
      <c r="C27" s="3">
        <f>SUM(B27:B27)</f>
        <v>0</v>
      </c>
      <c r="D27" s="3">
        <f t="shared" si="0"/>
        <v>0</v>
      </c>
    </row>
    <row r="28" spans="1:4" x14ac:dyDescent="0.3">
      <c r="A28" s="3">
        <v>19</v>
      </c>
      <c r="B28" s="3" t="s">
        <v>29</v>
      </c>
      <c r="C28" s="3">
        <f>SUM(B28:B28)</f>
        <v>0</v>
      </c>
      <c r="D28" s="3">
        <f t="shared" si="0"/>
        <v>0</v>
      </c>
    </row>
    <row r="29" spans="1:4" x14ac:dyDescent="0.3">
      <c r="A29" s="3">
        <v>20</v>
      </c>
      <c r="B29" s="3" t="s">
        <v>30</v>
      </c>
      <c r="C29" s="3">
        <f>SUM(B29:B29)</f>
        <v>0</v>
      </c>
      <c r="D29" s="3">
        <f t="shared" si="0"/>
        <v>0</v>
      </c>
    </row>
    <row r="30" spans="1:4" x14ac:dyDescent="0.3">
      <c r="A30" s="3">
        <v>21</v>
      </c>
      <c r="B30" s="3" t="s">
        <v>31</v>
      </c>
      <c r="C30" s="3">
        <f>SUM(B30:B30)</f>
        <v>0</v>
      </c>
      <c r="D30" s="3">
        <f t="shared" si="0"/>
        <v>0</v>
      </c>
    </row>
    <row r="31" spans="1:4" x14ac:dyDescent="0.3">
      <c r="A31" s="3">
        <v>22</v>
      </c>
      <c r="B31" s="3" t="s">
        <v>32</v>
      </c>
      <c r="C31" s="3">
        <f>SUM(B31:B31)</f>
        <v>0</v>
      </c>
      <c r="D31" s="3">
        <f t="shared" si="0"/>
        <v>0</v>
      </c>
    </row>
    <row r="32" spans="1:4" x14ac:dyDescent="0.3">
      <c r="A32" s="3">
        <v>23</v>
      </c>
      <c r="B32" s="3" t="s">
        <v>33</v>
      </c>
      <c r="C32" s="3">
        <f>SUM(B32:B32)</f>
        <v>0</v>
      </c>
      <c r="D32" s="3">
        <f t="shared" si="0"/>
        <v>0</v>
      </c>
    </row>
    <row r="33" spans="1:4" x14ac:dyDescent="0.3">
      <c r="A33" s="3">
        <v>24</v>
      </c>
      <c r="B33" s="3" t="s">
        <v>34</v>
      </c>
      <c r="C33" s="3">
        <f>SUM(B33:B33)</f>
        <v>0</v>
      </c>
      <c r="D33" s="3">
        <f t="shared" si="0"/>
        <v>0</v>
      </c>
    </row>
    <row r="34" spans="1:4" x14ac:dyDescent="0.3">
      <c r="A34" s="3">
        <v>25</v>
      </c>
      <c r="B34" s="3" t="s">
        <v>35</v>
      </c>
      <c r="C34" s="3">
        <f>SUM(B34:B34)</f>
        <v>0</v>
      </c>
      <c r="D34" s="3">
        <f t="shared" si="0"/>
        <v>0</v>
      </c>
    </row>
    <row r="35" spans="1:4" x14ac:dyDescent="0.3">
      <c r="A35" s="3">
        <v>26</v>
      </c>
      <c r="B35" s="3" t="s">
        <v>36</v>
      </c>
      <c r="C35" s="3">
        <f>SUM(B35:B35)</f>
        <v>0</v>
      </c>
      <c r="D35" s="3">
        <f t="shared" si="0"/>
        <v>0</v>
      </c>
    </row>
    <row r="36" spans="1:4" x14ac:dyDescent="0.3">
      <c r="A36" s="3">
        <v>27</v>
      </c>
      <c r="B36" s="3" t="s">
        <v>37</v>
      </c>
      <c r="C36" s="3">
        <f>SUM(B36:B36)</f>
        <v>0</v>
      </c>
      <c r="D36" s="3">
        <f t="shared" si="0"/>
        <v>0</v>
      </c>
    </row>
    <row r="37" spans="1:4" x14ac:dyDescent="0.3">
      <c r="A37" s="3">
        <v>28</v>
      </c>
      <c r="B37" s="3" t="s">
        <v>38</v>
      </c>
      <c r="C37" s="3">
        <f>SUM(B37:B37)</f>
        <v>0</v>
      </c>
      <c r="D37" s="3">
        <f t="shared" si="0"/>
        <v>0</v>
      </c>
    </row>
    <row r="38" spans="1:4" x14ac:dyDescent="0.3">
      <c r="A38" s="3">
        <v>29</v>
      </c>
      <c r="B38" s="3" t="s">
        <v>39</v>
      </c>
      <c r="C38" s="3">
        <f>SUM(B38:B38)</f>
        <v>0</v>
      </c>
      <c r="D38" s="3">
        <f t="shared" si="0"/>
        <v>0</v>
      </c>
    </row>
    <row r="39" spans="1:4" x14ac:dyDescent="0.3">
      <c r="A39" s="3">
        <v>30</v>
      </c>
      <c r="B39" s="3" t="s">
        <v>40</v>
      </c>
      <c r="C39" s="3">
        <f>SUM(B39:B39)</f>
        <v>0</v>
      </c>
      <c r="D39" s="3">
        <f t="shared" si="0"/>
        <v>0</v>
      </c>
    </row>
    <row r="40" spans="1:4" x14ac:dyDescent="0.3">
      <c r="A40" s="3">
        <v>31</v>
      </c>
      <c r="B40" s="3" t="s">
        <v>41</v>
      </c>
      <c r="C40" s="3">
        <f>SUM(B40:B40)</f>
        <v>0</v>
      </c>
      <c r="D40" s="3">
        <f t="shared" si="0"/>
        <v>0</v>
      </c>
    </row>
    <row r="41" spans="1:4" x14ac:dyDescent="0.3">
      <c r="A41" s="3">
        <v>32</v>
      </c>
      <c r="B41" s="3" t="s">
        <v>42</v>
      </c>
      <c r="C41" s="3">
        <f>SUM(B41:B41)</f>
        <v>0</v>
      </c>
      <c r="D41" s="3">
        <f t="shared" si="0"/>
        <v>0</v>
      </c>
    </row>
    <row r="42" spans="1:4" x14ac:dyDescent="0.3">
      <c r="A42" s="3">
        <v>33</v>
      </c>
      <c r="B42" s="3" t="s">
        <v>43</v>
      </c>
      <c r="C42" s="3">
        <f>SUM(B42:B42)</f>
        <v>0</v>
      </c>
      <c r="D42" s="3">
        <f t="shared" si="0"/>
        <v>0</v>
      </c>
    </row>
    <row r="43" spans="1:4" x14ac:dyDescent="0.3">
      <c r="A43" s="3">
        <v>34</v>
      </c>
      <c r="B43" s="3" t="s">
        <v>44</v>
      </c>
      <c r="C43" s="3">
        <f>SUM(B43:B43)</f>
        <v>0</v>
      </c>
      <c r="D43" s="3">
        <f t="shared" ref="D43:D74" si="1">C43+D42</f>
        <v>0</v>
      </c>
    </row>
    <row r="44" spans="1:4" x14ac:dyDescent="0.3">
      <c r="A44" s="3">
        <v>35</v>
      </c>
      <c r="B44" s="3" t="s">
        <v>45</v>
      </c>
      <c r="C44" s="3">
        <f>SUM(B44:B44)</f>
        <v>0</v>
      </c>
      <c r="D44" s="3">
        <f t="shared" si="1"/>
        <v>0</v>
      </c>
    </row>
    <row r="45" spans="1:4" x14ac:dyDescent="0.3">
      <c r="A45" s="3">
        <v>36</v>
      </c>
      <c r="B45" s="3" t="s">
        <v>46</v>
      </c>
      <c r="C45" s="3">
        <f>SUM(B45:B45)</f>
        <v>0</v>
      </c>
      <c r="D45" s="3">
        <f t="shared" si="1"/>
        <v>0</v>
      </c>
    </row>
    <row r="46" spans="1:4" x14ac:dyDescent="0.3">
      <c r="A46" s="3">
        <v>37</v>
      </c>
      <c r="B46" s="3" t="s">
        <v>47</v>
      </c>
      <c r="C46" s="3">
        <f>SUM(B46:B46)</f>
        <v>0</v>
      </c>
      <c r="D46" s="3">
        <f t="shared" si="1"/>
        <v>0</v>
      </c>
    </row>
    <row r="47" spans="1:4" x14ac:dyDescent="0.3">
      <c r="A47" s="3">
        <v>38</v>
      </c>
      <c r="B47" s="3" t="s">
        <v>48</v>
      </c>
      <c r="C47" s="3">
        <f>SUM(B47:B47)</f>
        <v>0</v>
      </c>
      <c r="D47" s="3">
        <f t="shared" si="1"/>
        <v>0</v>
      </c>
    </row>
    <row r="48" spans="1:4" x14ac:dyDescent="0.3">
      <c r="A48" s="3">
        <v>39</v>
      </c>
      <c r="B48" s="3" t="s">
        <v>49</v>
      </c>
      <c r="C48" s="3">
        <f>SUM(B48:B48)</f>
        <v>0</v>
      </c>
      <c r="D48" s="3">
        <f t="shared" si="1"/>
        <v>0</v>
      </c>
    </row>
    <row r="49" spans="1:4" x14ac:dyDescent="0.3">
      <c r="A49" s="3">
        <v>40</v>
      </c>
      <c r="B49" s="3" t="s">
        <v>50</v>
      </c>
      <c r="C49" s="3">
        <f>SUM(B49:B49)</f>
        <v>0</v>
      </c>
      <c r="D49" s="3">
        <f t="shared" si="1"/>
        <v>0</v>
      </c>
    </row>
    <row r="50" spans="1:4" x14ac:dyDescent="0.3">
      <c r="A50" s="3">
        <v>41</v>
      </c>
      <c r="B50" s="3" t="s">
        <v>51</v>
      </c>
      <c r="C50" s="3">
        <f>SUM(B50:B50)</f>
        <v>0</v>
      </c>
      <c r="D50" s="3">
        <f t="shared" si="1"/>
        <v>0</v>
      </c>
    </row>
    <row r="51" spans="1:4" x14ac:dyDescent="0.3">
      <c r="A51" s="3">
        <v>42</v>
      </c>
      <c r="B51" s="3" t="s">
        <v>52</v>
      </c>
      <c r="C51" s="3">
        <f>SUM(B51:B51)</f>
        <v>0</v>
      </c>
      <c r="D51" s="3">
        <f t="shared" si="1"/>
        <v>0</v>
      </c>
    </row>
    <row r="52" spans="1:4" x14ac:dyDescent="0.3">
      <c r="A52" s="3">
        <v>43</v>
      </c>
      <c r="B52" s="3" t="s">
        <v>53</v>
      </c>
      <c r="C52" s="3">
        <f>SUM(B52:B52)</f>
        <v>0</v>
      </c>
      <c r="D52" s="3">
        <f t="shared" si="1"/>
        <v>0</v>
      </c>
    </row>
    <row r="53" spans="1:4" x14ac:dyDescent="0.3">
      <c r="A53" s="3">
        <v>44</v>
      </c>
      <c r="B53" s="3" t="s">
        <v>54</v>
      </c>
      <c r="C53" s="3">
        <f>SUM(B53:B53)</f>
        <v>0</v>
      </c>
      <c r="D53" s="3">
        <f t="shared" si="1"/>
        <v>0</v>
      </c>
    </row>
    <row r="54" spans="1:4" x14ac:dyDescent="0.3">
      <c r="A54" s="3">
        <v>45</v>
      </c>
      <c r="B54" s="3" t="s">
        <v>55</v>
      </c>
      <c r="C54" s="3">
        <f>SUM(B54:B54)</f>
        <v>0</v>
      </c>
      <c r="D54" s="3">
        <f t="shared" si="1"/>
        <v>0</v>
      </c>
    </row>
    <row r="55" spans="1:4" x14ac:dyDescent="0.3">
      <c r="A55" s="3">
        <v>46</v>
      </c>
      <c r="B55" s="3" t="s">
        <v>56</v>
      </c>
      <c r="C55" s="3">
        <f>SUM(B55:B55)</f>
        <v>0</v>
      </c>
      <c r="D55" s="3">
        <f t="shared" si="1"/>
        <v>0</v>
      </c>
    </row>
    <row r="56" spans="1:4" x14ac:dyDescent="0.3">
      <c r="A56" s="3">
        <v>47</v>
      </c>
      <c r="B56" s="3" t="s">
        <v>57</v>
      </c>
      <c r="C56" s="3">
        <f>SUM(B56:B56)</f>
        <v>0</v>
      </c>
      <c r="D56" s="3">
        <f t="shared" si="1"/>
        <v>0</v>
      </c>
    </row>
    <row r="57" spans="1:4" x14ac:dyDescent="0.3">
      <c r="A57" s="3">
        <v>48</v>
      </c>
      <c r="B57" s="3" t="s">
        <v>58</v>
      </c>
      <c r="C57" s="3">
        <f>SUM(B57:B57)</f>
        <v>0</v>
      </c>
      <c r="D57" s="3">
        <f t="shared" si="1"/>
        <v>0</v>
      </c>
    </row>
    <row r="58" spans="1:4" x14ac:dyDescent="0.3">
      <c r="A58" s="3">
        <v>49</v>
      </c>
      <c r="B58" s="3" t="s">
        <v>59</v>
      </c>
      <c r="C58" s="3">
        <f>SUM(B58:B58)</f>
        <v>0</v>
      </c>
      <c r="D58" s="3">
        <f t="shared" si="1"/>
        <v>0</v>
      </c>
    </row>
    <row r="59" spans="1:4" x14ac:dyDescent="0.3">
      <c r="A59" s="3">
        <v>50</v>
      </c>
      <c r="B59" s="3" t="s">
        <v>60</v>
      </c>
      <c r="C59" s="3">
        <f>SUM(B59:B59)</f>
        <v>0</v>
      </c>
      <c r="D59" s="3">
        <f t="shared" si="1"/>
        <v>0</v>
      </c>
    </row>
    <row r="60" spans="1:4" x14ac:dyDescent="0.3">
      <c r="A60" s="3">
        <v>51</v>
      </c>
      <c r="B60" s="3" t="s">
        <v>61</v>
      </c>
      <c r="C60" s="3">
        <f>SUM(B60:B60)</f>
        <v>0</v>
      </c>
      <c r="D60" s="3">
        <f t="shared" si="1"/>
        <v>0</v>
      </c>
    </row>
    <row r="61" spans="1:4" x14ac:dyDescent="0.3">
      <c r="A61" s="3" t="s">
        <v>2</v>
      </c>
      <c r="B61" s="3" t="s">
        <v>62</v>
      </c>
      <c r="C61" s="3">
        <f>SUM(C10:C60)</f>
        <v>0</v>
      </c>
      <c r="D61" s="3"/>
    </row>
  </sheetData>
  <mergeCells count="3">
    <mergeCell ref="A6:D6"/>
    <mergeCell ref="A7:D7"/>
    <mergeCell ref="A8:D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E61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3.33203125" customWidth="1"/>
    <col min="4" max="5" width="24.44140625" customWidth="1"/>
  </cols>
  <sheetData>
    <row r="6" spans="1:5" ht="15.6" x14ac:dyDescent="0.3">
      <c r="A6" s="4" t="s">
        <v>74</v>
      </c>
      <c r="B6" s="5"/>
      <c r="C6" s="5"/>
      <c r="D6" s="5"/>
      <c r="E6" s="6"/>
    </row>
    <row r="7" spans="1:5" ht="15.6" x14ac:dyDescent="0.3">
      <c r="A7" s="4" t="s">
        <v>75</v>
      </c>
      <c r="B7" s="5"/>
      <c r="C7" s="5"/>
      <c r="D7" s="5"/>
      <c r="E7" s="6"/>
    </row>
    <row r="8" spans="1:5" x14ac:dyDescent="0.3">
      <c r="A8" s="7" t="s">
        <v>2</v>
      </c>
      <c r="B8" s="8"/>
      <c r="C8" s="8"/>
      <c r="D8" s="8"/>
      <c r="E8" s="9"/>
    </row>
    <row r="9" spans="1:5" x14ac:dyDescent="0.3">
      <c r="A9" s="1"/>
      <c r="B9" s="1" t="s">
        <v>3</v>
      </c>
      <c r="C9" s="1" t="s">
        <v>76</v>
      </c>
      <c r="D9" s="1" t="s">
        <v>96</v>
      </c>
      <c r="E9" s="1" t="s">
        <v>97</v>
      </c>
    </row>
    <row r="10" spans="1:5" x14ac:dyDescent="0.3">
      <c r="A10" s="3">
        <v>1</v>
      </c>
      <c r="B10" s="3" t="s">
        <v>11</v>
      </c>
      <c r="C10" s="2">
        <v>0</v>
      </c>
      <c r="D10" s="3">
        <f>SUM(C10:C10)</f>
        <v>0</v>
      </c>
      <c r="E10" s="3">
        <f>D10</f>
        <v>0</v>
      </c>
    </row>
    <row r="11" spans="1:5" x14ac:dyDescent="0.3">
      <c r="A11" s="3">
        <v>2</v>
      </c>
      <c r="B11" s="3" t="s">
        <v>12</v>
      </c>
      <c r="C11" s="2">
        <v>0</v>
      </c>
      <c r="D11" s="3">
        <f>SUM(C11:C11)</f>
        <v>0</v>
      </c>
      <c r="E11" s="3">
        <f t="shared" ref="E11:E42" si="0">D11+E10</f>
        <v>0</v>
      </c>
    </row>
    <row r="12" spans="1:5" x14ac:dyDescent="0.3">
      <c r="A12" s="3">
        <v>3</v>
      </c>
      <c r="B12" s="3" t="s">
        <v>13</v>
      </c>
      <c r="C12" s="2">
        <v>0</v>
      </c>
      <c r="D12" s="3">
        <f>SUM(C12:C12)</f>
        <v>0</v>
      </c>
      <c r="E12" s="3">
        <f t="shared" si="0"/>
        <v>0</v>
      </c>
    </row>
    <row r="13" spans="1:5" x14ac:dyDescent="0.3">
      <c r="A13" s="3">
        <v>4</v>
      </c>
      <c r="B13" s="3" t="s">
        <v>14</v>
      </c>
      <c r="C13" s="2">
        <v>0</v>
      </c>
      <c r="D13" s="3">
        <f>SUM(C13:C13)</f>
        <v>0</v>
      </c>
      <c r="E13" s="3">
        <f t="shared" si="0"/>
        <v>0</v>
      </c>
    </row>
    <row r="14" spans="1:5" x14ac:dyDescent="0.3">
      <c r="A14" s="3">
        <v>5</v>
      </c>
      <c r="B14" s="3" t="s">
        <v>15</v>
      </c>
      <c r="C14" s="2">
        <v>0</v>
      </c>
      <c r="D14" s="3">
        <f>SUM(C14:C14)</f>
        <v>0</v>
      </c>
      <c r="E14" s="3">
        <f t="shared" si="0"/>
        <v>0</v>
      </c>
    </row>
    <row r="15" spans="1:5" x14ac:dyDescent="0.3">
      <c r="A15" s="3">
        <v>6</v>
      </c>
      <c r="B15" s="3" t="s">
        <v>16</v>
      </c>
      <c r="C15" s="2">
        <v>0</v>
      </c>
      <c r="D15" s="3">
        <f>SUM(C15:C15)</f>
        <v>0</v>
      </c>
      <c r="E15" s="3">
        <f t="shared" si="0"/>
        <v>0</v>
      </c>
    </row>
    <row r="16" spans="1:5" x14ac:dyDescent="0.3">
      <c r="A16" s="3">
        <v>7</v>
      </c>
      <c r="B16" s="3" t="s">
        <v>17</v>
      </c>
      <c r="C16" s="2">
        <v>0</v>
      </c>
      <c r="D16" s="3">
        <f>SUM(C16:C16)</f>
        <v>0</v>
      </c>
      <c r="E16" s="3">
        <f t="shared" si="0"/>
        <v>0</v>
      </c>
    </row>
    <row r="17" spans="1:5" x14ac:dyDescent="0.3">
      <c r="A17" s="3">
        <v>8</v>
      </c>
      <c r="B17" s="3" t="s">
        <v>18</v>
      </c>
      <c r="C17" s="2">
        <v>0</v>
      </c>
      <c r="D17" s="3">
        <f>SUM(C17:C17)</f>
        <v>0</v>
      </c>
      <c r="E17" s="3">
        <f t="shared" si="0"/>
        <v>0</v>
      </c>
    </row>
    <row r="18" spans="1:5" x14ac:dyDescent="0.3">
      <c r="A18" s="3">
        <v>9</v>
      </c>
      <c r="B18" s="3" t="s">
        <v>19</v>
      </c>
      <c r="C18" s="2">
        <v>0</v>
      </c>
      <c r="D18" s="3">
        <f>SUM(C18:C18)</f>
        <v>0</v>
      </c>
      <c r="E18" s="3">
        <f t="shared" si="0"/>
        <v>0</v>
      </c>
    </row>
    <row r="19" spans="1:5" x14ac:dyDescent="0.3">
      <c r="A19" s="3">
        <v>10</v>
      </c>
      <c r="B19" s="3" t="s">
        <v>20</v>
      </c>
      <c r="C19" s="2">
        <v>0</v>
      </c>
      <c r="D19" s="3">
        <f>SUM(C19:C19)</f>
        <v>0</v>
      </c>
      <c r="E19" s="3">
        <f t="shared" si="0"/>
        <v>0</v>
      </c>
    </row>
    <row r="20" spans="1:5" x14ac:dyDescent="0.3">
      <c r="A20" s="3">
        <v>11</v>
      </c>
      <c r="B20" s="3" t="s">
        <v>21</v>
      </c>
      <c r="C20" s="2">
        <v>0</v>
      </c>
      <c r="D20" s="3">
        <f>SUM(C20:C20)</f>
        <v>0</v>
      </c>
      <c r="E20" s="3">
        <f t="shared" si="0"/>
        <v>0</v>
      </c>
    </row>
    <row r="21" spans="1:5" x14ac:dyDescent="0.3">
      <c r="A21" s="3">
        <v>12</v>
      </c>
      <c r="B21" s="3" t="s">
        <v>22</v>
      </c>
      <c r="C21" s="2">
        <v>0</v>
      </c>
      <c r="D21" s="3">
        <f>SUM(C21:C21)</f>
        <v>0</v>
      </c>
      <c r="E21" s="3">
        <f t="shared" si="0"/>
        <v>0</v>
      </c>
    </row>
    <row r="22" spans="1:5" x14ac:dyDescent="0.3">
      <c r="A22" s="3">
        <v>13</v>
      </c>
      <c r="B22" s="3" t="s">
        <v>23</v>
      </c>
      <c r="C22" s="2">
        <v>0</v>
      </c>
      <c r="D22" s="3">
        <f>SUM(C22:C22)</f>
        <v>0</v>
      </c>
      <c r="E22" s="3">
        <f t="shared" si="0"/>
        <v>0</v>
      </c>
    </row>
    <row r="23" spans="1:5" x14ac:dyDescent="0.3">
      <c r="A23" s="3">
        <v>14</v>
      </c>
      <c r="B23" s="3" t="s">
        <v>24</v>
      </c>
      <c r="C23" s="2">
        <v>0</v>
      </c>
      <c r="D23" s="3">
        <f>SUM(C23:C23)</f>
        <v>0</v>
      </c>
      <c r="E23" s="3">
        <f t="shared" si="0"/>
        <v>0</v>
      </c>
    </row>
    <row r="24" spans="1:5" x14ac:dyDescent="0.3">
      <c r="A24" s="3">
        <v>15</v>
      </c>
      <c r="B24" s="3" t="s">
        <v>25</v>
      </c>
      <c r="C24" s="2">
        <v>0</v>
      </c>
      <c r="D24" s="3">
        <f>SUM(C24:C24)</f>
        <v>0</v>
      </c>
      <c r="E24" s="3">
        <f t="shared" si="0"/>
        <v>0</v>
      </c>
    </row>
    <row r="25" spans="1:5" x14ac:dyDescent="0.3">
      <c r="A25" s="3">
        <v>16</v>
      </c>
      <c r="B25" s="3" t="s">
        <v>26</v>
      </c>
      <c r="C25" s="2">
        <v>34756</v>
      </c>
      <c r="D25" s="3">
        <f>SUM(C25:C25)</f>
        <v>34756</v>
      </c>
      <c r="E25" s="3">
        <f t="shared" si="0"/>
        <v>34756</v>
      </c>
    </row>
    <row r="26" spans="1:5" x14ac:dyDescent="0.3">
      <c r="A26" s="3">
        <v>17</v>
      </c>
      <c r="B26" s="3" t="s">
        <v>27</v>
      </c>
      <c r="C26" s="2">
        <v>0</v>
      </c>
      <c r="D26" s="3">
        <f>SUM(C26:C26)</f>
        <v>0</v>
      </c>
      <c r="E26" s="3">
        <f t="shared" si="0"/>
        <v>34756</v>
      </c>
    </row>
    <row r="27" spans="1:5" x14ac:dyDescent="0.3">
      <c r="A27" s="3">
        <v>18</v>
      </c>
      <c r="B27" s="3" t="s">
        <v>28</v>
      </c>
      <c r="C27" s="2">
        <v>17162</v>
      </c>
      <c r="D27" s="3">
        <f>SUM(C27:C27)</f>
        <v>17162</v>
      </c>
      <c r="E27" s="3">
        <f t="shared" si="0"/>
        <v>51918</v>
      </c>
    </row>
    <row r="28" spans="1:5" x14ac:dyDescent="0.3">
      <c r="A28" s="3">
        <v>19</v>
      </c>
      <c r="B28" s="3" t="s">
        <v>29</v>
      </c>
      <c r="C28" s="2">
        <v>25606</v>
      </c>
      <c r="D28" s="3">
        <f>SUM(C28:C28)</f>
        <v>25606</v>
      </c>
      <c r="E28" s="3">
        <f t="shared" si="0"/>
        <v>77524</v>
      </c>
    </row>
    <row r="29" spans="1:5" x14ac:dyDescent="0.3">
      <c r="A29" s="3">
        <v>20</v>
      </c>
      <c r="B29" s="3" t="s">
        <v>30</v>
      </c>
      <c r="C29" s="2">
        <v>0</v>
      </c>
      <c r="D29" s="3">
        <f>SUM(C29:C29)</f>
        <v>0</v>
      </c>
      <c r="E29" s="3">
        <f t="shared" si="0"/>
        <v>77524</v>
      </c>
    </row>
    <row r="30" spans="1:5" x14ac:dyDescent="0.3">
      <c r="A30" s="3">
        <v>21</v>
      </c>
      <c r="B30" s="3" t="s">
        <v>31</v>
      </c>
      <c r="C30" s="2">
        <v>0</v>
      </c>
      <c r="D30" s="3">
        <f>SUM(C30:C30)</f>
        <v>0</v>
      </c>
      <c r="E30" s="3">
        <f t="shared" si="0"/>
        <v>77524</v>
      </c>
    </row>
    <row r="31" spans="1:5" x14ac:dyDescent="0.3">
      <c r="A31" s="3">
        <v>22</v>
      </c>
      <c r="B31" s="3" t="s">
        <v>32</v>
      </c>
      <c r="C31" s="2">
        <v>0</v>
      </c>
      <c r="D31" s="3">
        <f>SUM(C31:C31)</f>
        <v>0</v>
      </c>
      <c r="E31" s="3">
        <f t="shared" si="0"/>
        <v>77524</v>
      </c>
    </row>
    <row r="32" spans="1:5" x14ac:dyDescent="0.3">
      <c r="A32" s="3">
        <v>23</v>
      </c>
      <c r="B32" s="3" t="s">
        <v>33</v>
      </c>
      <c r="C32" s="2">
        <v>0</v>
      </c>
      <c r="D32" s="3">
        <f>SUM(C32:C32)</f>
        <v>0</v>
      </c>
      <c r="E32" s="3">
        <f t="shared" si="0"/>
        <v>77524</v>
      </c>
    </row>
    <row r="33" spans="1:5" x14ac:dyDescent="0.3">
      <c r="A33" s="3">
        <v>24</v>
      </c>
      <c r="B33" s="3" t="s">
        <v>34</v>
      </c>
      <c r="C33" s="2">
        <v>0</v>
      </c>
      <c r="D33" s="3">
        <f>SUM(C33:C33)</f>
        <v>0</v>
      </c>
      <c r="E33" s="3">
        <f t="shared" si="0"/>
        <v>77524</v>
      </c>
    </row>
    <row r="34" spans="1:5" x14ac:dyDescent="0.3">
      <c r="A34" s="3">
        <v>25</v>
      </c>
      <c r="B34" s="3" t="s">
        <v>35</v>
      </c>
      <c r="C34" s="2">
        <v>0</v>
      </c>
      <c r="D34" s="3">
        <f>SUM(C34:C34)</f>
        <v>0</v>
      </c>
      <c r="E34" s="3">
        <f t="shared" si="0"/>
        <v>77524</v>
      </c>
    </row>
    <row r="35" spans="1:5" x14ac:dyDescent="0.3">
      <c r="A35" s="3">
        <v>26</v>
      </c>
      <c r="B35" s="3" t="s">
        <v>36</v>
      </c>
      <c r="C35" s="2">
        <v>0</v>
      </c>
      <c r="D35" s="3">
        <f>SUM(C35:C35)</f>
        <v>0</v>
      </c>
      <c r="E35" s="3">
        <f t="shared" si="0"/>
        <v>77524</v>
      </c>
    </row>
    <row r="36" spans="1:5" x14ac:dyDescent="0.3">
      <c r="A36" s="3">
        <v>27</v>
      </c>
      <c r="B36" s="3" t="s">
        <v>37</v>
      </c>
      <c r="C36" s="2">
        <v>0</v>
      </c>
      <c r="D36" s="3">
        <f>SUM(C36:C36)</f>
        <v>0</v>
      </c>
      <c r="E36" s="3">
        <f t="shared" si="0"/>
        <v>77524</v>
      </c>
    </row>
    <row r="37" spans="1:5" x14ac:dyDescent="0.3">
      <c r="A37" s="3">
        <v>28</v>
      </c>
      <c r="B37" s="3" t="s">
        <v>38</v>
      </c>
      <c r="C37" s="2">
        <v>0</v>
      </c>
      <c r="D37" s="3">
        <f>SUM(C37:C37)</f>
        <v>0</v>
      </c>
      <c r="E37" s="3">
        <f t="shared" si="0"/>
        <v>77524</v>
      </c>
    </row>
    <row r="38" spans="1:5" x14ac:dyDescent="0.3">
      <c r="A38" s="3">
        <v>29</v>
      </c>
      <c r="B38" s="3" t="s">
        <v>39</v>
      </c>
      <c r="C38" s="2">
        <v>0</v>
      </c>
      <c r="D38" s="3">
        <f>SUM(C38:C38)</f>
        <v>0</v>
      </c>
      <c r="E38" s="3">
        <f t="shared" si="0"/>
        <v>77524</v>
      </c>
    </row>
    <row r="39" spans="1:5" x14ac:dyDescent="0.3">
      <c r="A39" s="3">
        <v>30</v>
      </c>
      <c r="B39" s="3" t="s">
        <v>40</v>
      </c>
      <c r="C39" s="2">
        <v>0</v>
      </c>
      <c r="D39" s="3">
        <f>SUM(C39:C39)</f>
        <v>0</v>
      </c>
      <c r="E39" s="3">
        <f t="shared" si="0"/>
        <v>77524</v>
      </c>
    </row>
    <row r="40" spans="1:5" x14ac:dyDescent="0.3">
      <c r="A40" s="3">
        <v>31</v>
      </c>
      <c r="B40" s="3" t="s">
        <v>41</v>
      </c>
      <c r="C40" s="2">
        <v>0</v>
      </c>
      <c r="D40" s="3">
        <f>SUM(C40:C40)</f>
        <v>0</v>
      </c>
      <c r="E40" s="3">
        <f t="shared" si="0"/>
        <v>77524</v>
      </c>
    </row>
    <row r="41" spans="1:5" x14ac:dyDescent="0.3">
      <c r="A41" s="3">
        <v>32</v>
      </c>
      <c r="B41" s="3" t="s">
        <v>42</v>
      </c>
      <c r="C41" s="2">
        <v>0</v>
      </c>
      <c r="D41" s="3">
        <f>SUM(C41:C41)</f>
        <v>0</v>
      </c>
      <c r="E41" s="3">
        <f t="shared" si="0"/>
        <v>77524</v>
      </c>
    </row>
    <row r="42" spans="1:5" x14ac:dyDescent="0.3">
      <c r="A42" s="3">
        <v>33</v>
      </c>
      <c r="B42" s="3" t="s">
        <v>43</v>
      </c>
      <c r="C42" s="2">
        <v>32924</v>
      </c>
      <c r="D42" s="3">
        <f>SUM(C42:C42)</f>
        <v>32924</v>
      </c>
      <c r="E42" s="3">
        <f t="shared" si="0"/>
        <v>110448</v>
      </c>
    </row>
    <row r="43" spans="1:5" x14ac:dyDescent="0.3">
      <c r="A43" s="3">
        <v>34</v>
      </c>
      <c r="B43" s="3" t="s">
        <v>44</v>
      </c>
      <c r="C43" s="2">
        <v>0</v>
      </c>
      <c r="D43" s="3">
        <f>SUM(C43:C43)</f>
        <v>0</v>
      </c>
      <c r="E43" s="3">
        <f t="shared" ref="E43:E74" si="1">D43+E42</f>
        <v>110448</v>
      </c>
    </row>
    <row r="44" spans="1:5" x14ac:dyDescent="0.3">
      <c r="A44" s="3">
        <v>35</v>
      </c>
      <c r="B44" s="3" t="s">
        <v>45</v>
      </c>
      <c r="C44" s="2">
        <v>0</v>
      </c>
      <c r="D44" s="3">
        <f>SUM(C44:C44)</f>
        <v>0</v>
      </c>
      <c r="E44" s="3">
        <f t="shared" si="1"/>
        <v>110448</v>
      </c>
    </row>
    <row r="45" spans="1:5" x14ac:dyDescent="0.3">
      <c r="A45" s="3">
        <v>36</v>
      </c>
      <c r="B45" s="3" t="s">
        <v>46</v>
      </c>
      <c r="C45" s="2">
        <v>0</v>
      </c>
      <c r="D45" s="3">
        <f>SUM(C45:C45)</f>
        <v>0</v>
      </c>
      <c r="E45" s="3">
        <f t="shared" si="1"/>
        <v>110448</v>
      </c>
    </row>
    <row r="46" spans="1:5" x14ac:dyDescent="0.3">
      <c r="A46" s="3">
        <v>37</v>
      </c>
      <c r="B46" s="3" t="s">
        <v>47</v>
      </c>
      <c r="C46" s="2">
        <v>0</v>
      </c>
      <c r="D46" s="3">
        <f>SUM(C46:C46)</f>
        <v>0</v>
      </c>
      <c r="E46" s="3">
        <f t="shared" si="1"/>
        <v>110448</v>
      </c>
    </row>
    <row r="47" spans="1:5" x14ac:dyDescent="0.3">
      <c r="A47" s="3">
        <v>38</v>
      </c>
      <c r="B47" s="3" t="s">
        <v>48</v>
      </c>
      <c r="C47" s="2">
        <v>0</v>
      </c>
      <c r="D47" s="3">
        <f>SUM(C47:C47)</f>
        <v>0</v>
      </c>
      <c r="E47" s="3">
        <f t="shared" si="1"/>
        <v>110448</v>
      </c>
    </row>
    <row r="48" spans="1:5" x14ac:dyDescent="0.3">
      <c r="A48" s="3">
        <v>39</v>
      </c>
      <c r="B48" s="3" t="s">
        <v>49</v>
      </c>
      <c r="C48" s="2">
        <v>0</v>
      </c>
      <c r="D48" s="3">
        <f>SUM(C48:C48)</f>
        <v>0</v>
      </c>
      <c r="E48" s="3">
        <f t="shared" si="1"/>
        <v>110448</v>
      </c>
    </row>
    <row r="49" spans="1:5" x14ac:dyDescent="0.3">
      <c r="A49" s="3">
        <v>40</v>
      </c>
      <c r="B49" s="3" t="s">
        <v>50</v>
      </c>
      <c r="C49" s="2">
        <v>0</v>
      </c>
      <c r="D49" s="3">
        <f>SUM(C49:C49)</f>
        <v>0</v>
      </c>
      <c r="E49" s="3">
        <f t="shared" si="1"/>
        <v>110448</v>
      </c>
    </row>
    <row r="50" spans="1:5" x14ac:dyDescent="0.3">
      <c r="A50" s="3">
        <v>41</v>
      </c>
      <c r="B50" s="3" t="s">
        <v>51</v>
      </c>
      <c r="C50" s="2">
        <v>0</v>
      </c>
      <c r="D50" s="3">
        <f>SUM(C50:C50)</f>
        <v>0</v>
      </c>
      <c r="E50" s="3">
        <f t="shared" si="1"/>
        <v>110448</v>
      </c>
    </row>
    <row r="51" spans="1:5" x14ac:dyDescent="0.3">
      <c r="A51" s="3">
        <v>42</v>
      </c>
      <c r="B51" s="3" t="s">
        <v>52</v>
      </c>
      <c r="C51" s="2">
        <v>0</v>
      </c>
      <c r="D51" s="3">
        <f>SUM(C51:C51)</f>
        <v>0</v>
      </c>
      <c r="E51" s="3">
        <f t="shared" si="1"/>
        <v>110448</v>
      </c>
    </row>
    <row r="52" spans="1:5" x14ac:dyDescent="0.3">
      <c r="A52" s="3">
        <v>43</v>
      </c>
      <c r="B52" s="3" t="s">
        <v>53</v>
      </c>
      <c r="C52" s="2">
        <v>0</v>
      </c>
      <c r="D52" s="3">
        <f>SUM(C52:C52)</f>
        <v>0</v>
      </c>
      <c r="E52" s="3">
        <f t="shared" si="1"/>
        <v>110448</v>
      </c>
    </row>
    <row r="53" spans="1:5" x14ac:dyDescent="0.3">
      <c r="A53" s="3">
        <v>44</v>
      </c>
      <c r="B53" s="3" t="s">
        <v>54</v>
      </c>
      <c r="C53" s="2">
        <v>0</v>
      </c>
      <c r="D53" s="3">
        <f>SUM(C53:C53)</f>
        <v>0</v>
      </c>
      <c r="E53" s="3">
        <f t="shared" si="1"/>
        <v>110448</v>
      </c>
    </row>
    <row r="54" spans="1:5" x14ac:dyDescent="0.3">
      <c r="A54" s="3">
        <v>45</v>
      </c>
      <c r="B54" s="3" t="s">
        <v>55</v>
      </c>
      <c r="C54" s="2">
        <v>0</v>
      </c>
      <c r="D54" s="3">
        <f>SUM(C54:C54)</f>
        <v>0</v>
      </c>
      <c r="E54" s="3">
        <f t="shared" si="1"/>
        <v>110448</v>
      </c>
    </row>
    <row r="55" spans="1:5" x14ac:dyDescent="0.3">
      <c r="A55" s="3">
        <v>46</v>
      </c>
      <c r="B55" s="3" t="s">
        <v>56</v>
      </c>
      <c r="C55" s="2">
        <v>0</v>
      </c>
      <c r="D55" s="3">
        <f>SUM(C55:C55)</f>
        <v>0</v>
      </c>
      <c r="E55" s="3">
        <f t="shared" si="1"/>
        <v>110448</v>
      </c>
    </row>
    <row r="56" spans="1:5" x14ac:dyDescent="0.3">
      <c r="A56" s="3">
        <v>47</v>
      </c>
      <c r="B56" s="3" t="s">
        <v>57</v>
      </c>
      <c r="C56" s="2">
        <v>0</v>
      </c>
      <c r="D56" s="3">
        <f>SUM(C56:C56)</f>
        <v>0</v>
      </c>
      <c r="E56" s="3">
        <f t="shared" si="1"/>
        <v>110448</v>
      </c>
    </row>
    <row r="57" spans="1:5" x14ac:dyDescent="0.3">
      <c r="A57" s="3">
        <v>48</v>
      </c>
      <c r="B57" s="3" t="s">
        <v>58</v>
      </c>
      <c r="C57" s="2">
        <v>0</v>
      </c>
      <c r="D57" s="3">
        <f>SUM(C57:C57)</f>
        <v>0</v>
      </c>
      <c r="E57" s="3">
        <f t="shared" si="1"/>
        <v>110448</v>
      </c>
    </row>
    <row r="58" spans="1:5" x14ac:dyDescent="0.3">
      <c r="A58" s="3">
        <v>49</v>
      </c>
      <c r="B58" s="3" t="s">
        <v>59</v>
      </c>
      <c r="C58" s="2">
        <v>0</v>
      </c>
      <c r="D58" s="3">
        <f>SUM(C58:C58)</f>
        <v>0</v>
      </c>
      <c r="E58" s="3">
        <f t="shared" si="1"/>
        <v>110448</v>
      </c>
    </row>
    <row r="59" spans="1:5" x14ac:dyDescent="0.3">
      <c r="A59" s="3">
        <v>50</v>
      </c>
      <c r="B59" s="3" t="s">
        <v>60</v>
      </c>
      <c r="C59" s="2">
        <v>0</v>
      </c>
      <c r="D59" s="3">
        <f>SUM(C59:C59)</f>
        <v>0</v>
      </c>
      <c r="E59" s="3">
        <f t="shared" si="1"/>
        <v>110448</v>
      </c>
    </row>
    <row r="60" spans="1:5" x14ac:dyDescent="0.3">
      <c r="A60" s="3">
        <v>51</v>
      </c>
      <c r="B60" s="3" t="s">
        <v>61</v>
      </c>
      <c r="C60" s="2">
        <v>0</v>
      </c>
      <c r="D60" s="3">
        <f>SUM(C60:C60)</f>
        <v>0</v>
      </c>
      <c r="E60" s="3">
        <f t="shared" si="1"/>
        <v>110448</v>
      </c>
    </row>
    <row r="61" spans="1:5" x14ac:dyDescent="0.3">
      <c r="A61" s="3" t="s">
        <v>2</v>
      </c>
      <c r="B61" s="3" t="s">
        <v>62</v>
      </c>
      <c r="C61" s="3">
        <f>SUM(C10:C60)</f>
        <v>110448</v>
      </c>
      <c r="D61" s="3">
        <f>SUM(D10:D60)</f>
        <v>110448</v>
      </c>
      <c r="E61" s="3"/>
    </row>
  </sheetData>
  <mergeCells count="3">
    <mergeCell ref="A6:E6"/>
    <mergeCell ref="A7:E7"/>
    <mergeCell ref="A8:E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6:D61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4" width="30.5546875" customWidth="1"/>
  </cols>
  <sheetData>
    <row r="6" spans="1:4" ht="15.6" x14ac:dyDescent="0.3">
      <c r="A6" s="4" t="s">
        <v>77</v>
      </c>
      <c r="B6" s="5"/>
      <c r="C6" s="5"/>
      <c r="D6" s="6"/>
    </row>
    <row r="7" spans="1:4" ht="15.6" x14ac:dyDescent="0.3">
      <c r="A7" s="4" t="s">
        <v>78</v>
      </c>
      <c r="B7" s="5"/>
      <c r="C7" s="5"/>
      <c r="D7" s="6"/>
    </row>
    <row r="8" spans="1:4" x14ac:dyDescent="0.3">
      <c r="A8" s="7" t="s">
        <v>2</v>
      </c>
      <c r="B8" s="8"/>
      <c r="C8" s="8"/>
      <c r="D8" s="9"/>
    </row>
    <row r="9" spans="1:4" x14ac:dyDescent="0.3">
      <c r="A9" s="1"/>
      <c r="B9" s="1" t="s">
        <v>3</v>
      </c>
      <c r="C9" s="1" t="s">
        <v>96</v>
      </c>
      <c r="D9" s="1" t="s">
        <v>97</v>
      </c>
    </row>
    <row r="10" spans="1:4" x14ac:dyDescent="0.3">
      <c r="A10" s="3">
        <v>1</v>
      </c>
      <c r="B10" s="3" t="s">
        <v>11</v>
      </c>
      <c r="C10" s="3">
        <f>SUM(B10:B10)</f>
        <v>0</v>
      </c>
      <c r="D10" s="3">
        <f>C10</f>
        <v>0</v>
      </c>
    </row>
    <row r="11" spans="1:4" x14ac:dyDescent="0.3">
      <c r="A11" s="3">
        <v>2</v>
      </c>
      <c r="B11" s="3" t="s">
        <v>12</v>
      </c>
      <c r="C11" s="3">
        <f>SUM(B11:B11)</f>
        <v>0</v>
      </c>
      <c r="D11" s="3">
        <f t="shared" ref="D11:D42" si="0">C11+D10</f>
        <v>0</v>
      </c>
    </row>
    <row r="12" spans="1:4" x14ac:dyDescent="0.3">
      <c r="A12" s="3">
        <v>3</v>
      </c>
      <c r="B12" s="3" t="s">
        <v>13</v>
      </c>
      <c r="C12" s="3">
        <f>SUM(B12:B12)</f>
        <v>0</v>
      </c>
      <c r="D12" s="3">
        <f t="shared" si="0"/>
        <v>0</v>
      </c>
    </row>
    <row r="13" spans="1:4" x14ac:dyDescent="0.3">
      <c r="A13" s="3">
        <v>4</v>
      </c>
      <c r="B13" s="3" t="s">
        <v>14</v>
      </c>
      <c r="C13" s="3">
        <f>SUM(B13:B13)</f>
        <v>0</v>
      </c>
      <c r="D13" s="3">
        <f t="shared" si="0"/>
        <v>0</v>
      </c>
    </row>
    <row r="14" spans="1:4" x14ac:dyDescent="0.3">
      <c r="A14" s="3">
        <v>5</v>
      </c>
      <c r="B14" s="3" t="s">
        <v>15</v>
      </c>
      <c r="C14" s="3">
        <f>SUM(B14:B14)</f>
        <v>0</v>
      </c>
      <c r="D14" s="3">
        <f t="shared" si="0"/>
        <v>0</v>
      </c>
    </row>
    <row r="15" spans="1:4" x14ac:dyDescent="0.3">
      <c r="A15" s="3">
        <v>6</v>
      </c>
      <c r="B15" s="3" t="s">
        <v>16</v>
      </c>
      <c r="C15" s="3">
        <f>SUM(B15:B15)</f>
        <v>0</v>
      </c>
      <c r="D15" s="3">
        <f t="shared" si="0"/>
        <v>0</v>
      </c>
    </row>
    <row r="16" spans="1:4" x14ac:dyDescent="0.3">
      <c r="A16" s="3">
        <v>7</v>
      </c>
      <c r="B16" s="3" t="s">
        <v>17</v>
      </c>
      <c r="C16" s="3">
        <f>SUM(B16:B16)</f>
        <v>0</v>
      </c>
      <c r="D16" s="3">
        <f t="shared" si="0"/>
        <v>0</v>
      </c>
    </row>
    <row r="17" spans="1:4" x14ac:dyDescent="0.3">
      <c r="A17" s="3">
        <v>8</v>
      </c>
      <c r="B17" s="3" t="s">
        <v>18</v>
      </c>
      <c r="C17" s="3">
        <f>SUM(B17:B17)</f>
        <v>0</v>
      </c>
      <c r="D17" s="3">
        <f t="shared" si="0"/>
        <v>0</v>
      </c>
    </row>
    <row r="18" spans="1:4" x14ac:dyDescent="0.3">
      <c r="A18" s="3">
        <v>9</v>
      </c>
      <c r="B18" s="3" t="s">
        <v>19</v>
      </c>
      <c r="C18" s="3">
        <f>SUM(B18:B18)</f>
        <v>0</v>
      </c>
      <c r="D18" s="3">
        <f t="shared" si="0"/>
        <v>0</v>
      </c>
    </row>
    <row r="19" spans="1:4" x14ac:dyDescent="0.3">
      <c r="A19" s="3">
        <v>10</v>
      </c>
      <c r="B19" s="3" t="s">
        <v>20</v>
      </c>
      <c r="C19" s="3">
        <f>SUM(B19:B19)</f>
        <v>0</v>
      </c>
      <c r="D19" s="3">
        <f t="shared" si="0"/>
        <v>0</v>
      </c>
    </row>
    <row r="20" spans="1:4" x14ac:dyDescent="0.3">
      <c r="A20" s="3">
        <v>11</v>
      </c>
      <c r="B20" s="3" t="s">
        <v>21</v>
      </c>
      <c r="C20" s="3">
        <f>SUM(B20:B20)</f>
        <v>0</v>
      </c>
      <c r="D20" s="3">
        <f t="shared" si="0"/>
        <v>0</v>
      </c>
    </row>
    <row r="21" spans="1:4" x14ac:dyDescent="0.3">
      <c r="A21" s="3">
        <v>12</v>
      </c>
      <c r="B21" s="3" t="s">
        <v>22</v>
      </c>
      <c r="C21" s="3">
        <f>SUM(B21:B21)</f>
        <v>0</v>
      </c>
      <c r="D21" s="3">
        <f t="shared" si="0"/>
        <v>0</v>
      </c>
    </row>
    <row r="22" spans="1:4" x14ac:dyDescent="0.3">
      <c r="A22" s="3">
        <v>13</v>
      </c>
      <c r="B22" s="3" t="s">
        <v>23</v>
      </c>
      <c r="C22" s="3">
        <f>SUM(B22:B22)</f>
        <v>0</v>
      </c>
      <c r="D22" s="3">
        <f t="shared" si="0"/>
        <v>0</v>
      </c>
    </row>
    <row r="23" spans="1:4" x14ac:dyDescent="0.3">
      <c r="A23" s="3">
        <v>14</v>
      </c>
      <c r="B23" s="3" t="s">
        <v>24</v>
      </c>
      <c r="C23" s="3">
        <f>SUM(B23:B23)</f>
        <v>0</v>
      </c>
      <c r="D23" s="3">
        <f t="shared" si="0"/>
        <v>0</v>
      </c>
    </row>
    <row r="24" spans="1:4" x14ac:dyDescent="0.3">
      <c r="A24" s="3">
        <v>15</v>
      </c>
      <c r="B24" s="3" t="s">
        <v>25</v>
      </c>
      <c r="C24" s="3">
        <f>SUM(B24:B24)</f>
        <v>0</v>
      </c>
      <c r="D24" s="3">
        <f t="shared" si="0"/>
        <v>0</v>
      </c>
    </row>
    <row r="25" spans="1:4" x14ac:dyDescent="0.3">
      <c r="A25" s="3">
        <v>16</v>
      </c>
      <c r="B25" s="3" t="s">
        <v>26</v>
      </c>
      <c r="C25" s="3">
        <f>SUM(B25:B25)</f>
        <v>0</v>
      </c>
      <c r="D25" s="3">
        <f t="shared" si="0"/>
        <v>0</v>
      </c>
    </row>
    <row r="26" spans="1:4" x14ac:dyDescent="0.3">
      <c r="A26" s="3">
        <v>17</v>
      </c>
      <c r="B26" s="3" t="s">
        <v>27</v>
      </c>
      <c r="C26" s="3">
        <f>SUM(B26:B26)</f>
        <v>0</v>
      </c>
      <c r="D26" s="3">
        <f t="shared" si="0"/>
        <v>0</v>
      </c>
    </row>
    <row r="27" spans="1:4" x14ac:dyDescent="0.3">
      <c r="A27" s="3">
        <v>18</v>
      </c>
      <c r="B27" s="3" t="s">
        <v>28</v>
      </c>
      <c r="C27" s="3">
        <f>SUM(B27:B27)</f>
        <v>0</v>
      </c>
      <c r="D27" s="3">
        <f t="shared" si="0"/>
        <v>0</v>
      </c>
    </row>
    <row r="28" spans="1:4" x14ac:dyDescent="0.3">
      <c r="A28" s="3">
        <v>19</v>
      </c>
      <c r="B28" s="3" t="s">
        <v>29</v>
      </c>
      <c r="C28" s="3">
        <f>SUM(B28:B28)</f>
        <v>0</v>
      </c>
      <c r="D28" s="3">
        <f t="shared" si="0"/>
        <v>0</v>
      </c>
    </row>
    <row r="29" spans="1:4" x14ac:dyDescent="0.3">
      <c r="A29" s="3">
        <v>20</v>
      </c>
      <c r="B29" s="3" t="s">
        <v>30</v>
      </c>
      <c r="C29" s="3">
        <f>SUM(B29:B29)</f>
        <v>0</v>
      </c>
      <c r="D29" s="3">
        <f t="shared" si="0"/>
        <v>0</v>
      </c>
    </row>
    <row r="30" spans="1:4" x14ac:dyDescent="0.3">
      <c r="A30" s="3">
        <v>21</v>
      </c>
      <c r="B30" s="3" t="s">
        <v>31</v>
      </c>
      <c r="C30" s="3">
        <f>SUM(B30:B30)</f>
        <v>0</v>
      </c>
      <c r="D30" s="3">
        <f t="shared" si="0"/>
        <v>0</v>
      </c>
    </row>
    <row r="31" spans="1:4" x14ac:dyDescent="0.3">
      <c r="A31" s="3">
        <v>22</v>
      </c>
      <c r="B31" s="3" t="s">
        <v>32</v>
      </c>
      <c r="C31" s="3">
        <f>SUM(B31:B31)</f>
        <v>0</v>
      </c>
      <c r="D31" s="3">
        <f t="shared" si="0"/>
        <v>0</v>
      </c>
    </row>
    <row r="32" spans="1:4" x14ac:dyDescent="0.3">
      <c r="A32" s="3">
        <v>23</v>
      </c>
      <c r="B32" s="3" t="s">
        <v>33</v>
      </c>
      <c r="C32" s="3">
        <f>SUM(B32:B32)</f>
        <v>0</v>
      </c>
      <c r="D32" s="3">
        <f t="shared" si="0"/>
        <v>0</v>
      </c>
    </row>
    <row r="33" spans="1:4" x14ac:dyDescent="0.3">
      <c r="A33" s="3">
        <v>24</v>
      </c>
      <c r="B33" s="3" t="s">
        <v>34</v>
      </c>
      <c r="C33" s="3">
        <f>SUM(B33:B33)</f>
        <v>0</v>
      </c>
      <c r="D33" s="3">
        <f t="shared" si="0"/>
        <v>0</v>
      </c>
    </row>
    <row r="34" spans="1:4" x14ac:dyDescent="0.3">
      <c r="A34" s="3">
        <v>25</v>
      </c>
      <c r="B34" s="3" t="s">
        <v>35</v>
      </c>
      <c r="C34" s="3">
        <f>SUM(B34:B34)</f>
        <v>0</v>
      </c>
      <c r="D34" s="3">
        <f t="shared" si="0"/>
        <v>0</v>
      </c>
    </row>
    <row r="35" spans="1:4" x14ac:dyDescent="0.3">
      <c r="A35" s="3">
        <v>26</v>
      </c>
      <c r="B35" s="3" t="s">
        <v>36</v>
      </c>
      <c r="C35" s="3">
        <f>SUM(B35:B35)</f>
        <v>0</v>
      </c>
      <c r="D35" s="3">
        <f t="shared" si="0"/>
        <v>0</v>
      </c>
    </row>
    <row r="36" spans="1:4" x14ac:dyDescent="0.3">
      <c r="A36" s="3">
        <v>27</v>
      </c>
      <c r="B36" s="3" t="s">
        <v>37</v>
      </c>
      <c r="C36" s="3">
        <f>SUM(B36:B36)</f>
        <v>0</v>
      </c>
      <c r="D36" s="3">
        <f t="shared" si="0"/>
        <v>0</v>
      </c>
    </row>
    <row r="37" spans="1:4" x14ac:dyDescent="0.3">
      <c r="A37" s="3">
        <v>28</v>
      </c>
      <c r="B37" s="3" t="s">
        <v>38</v>
      </c>
      <c r="C37" s="3">
        <f>SUM(B37:B37)</f>
        <v>0</v>
      </c>
      <c r="D37" s="3">
        <f t="shared" si="0"/>
        <v>0</v>
      </c>
    </row>
    <row r="38" spans="1:4" x14ac:dyDescent="0.3">
      <c r="A38" s="3">
        <v>29</v>
      </c>
      <c r="B38" s="3" t="s">
        <v>39</v>
      </c>
      <c r="C38" s="3">
        <f>SUM(B38:B38)</f>
        <v>0</v>
      </c>
      <c r="D38" s="3">
        <f t="shared" si="0"/>
        <v>0</v>
      </c>
    </row>
    <row r="39" spans="1:4" x14ac:dyDescent="0.3">
      <c r="A39" s="3">
        <v>30</v>
      </c>
      <c r="B39" s="3" t="s">
        <v>40</v>
      </c>
      <c r="C39" s="3">
        <f>SUM(B39:B39)</f>
        <v>0</v>
      </c>
      <c r="D39" s="3">
        <f t="shared" si="0"/>
        <v>0</v>
      </c>
    </row>
    <row r="40" spans="1:4" x14ac:dyDescent="0.3">
      <c r="A40" s="3">
        <v>31</v>
      </c>
      <c r="B40" s="3" t="s">
        <v>41</v>
      </c>
      <c r="C40" s="3">
        <f>SUM(B40:B40)</f>
        <v>0</v>
      </c>
      <c r="D40" s="3">
        <f t="shared" si="0"/>
        <v>0</v>
      </c>
    </row>
    <row r="41" spans="1:4" x14ac:dyDescent="0.3">
      <c r="A41" s="3">
        <v>32</v>
      </c>
      <c r="B41" s="3" t="s">
        <v>42</v>
      </c>
      <c r="C41" s="3">
        <f>SUM(B41:B41)</f>
        <v>0</v>
      </c>
      <c r="D41" s="3">
        <f t="shared" si="0"/>
        <v>0</v>
      </c>
    </row>
    <row r="42" spans="1:4" x14ac:dyDescent="0.3">
      <c r="A42" s="3">
        <v>33</v>
      </c>
      <c r="B42" s="3" t="s">
        <v>43</v>
      </c>
      <c r="C42" s="3">
        <f>SUM(B42:B42)</f>
        <v>0</v>
      </c>
      <c r="D42" s="3">
        <f t="shared" si="0"/>
        <v>0</v>
      </c>
    </row>
    <row r="43" spans="1:4" x14ac:dyDescent="0.3">
      <c r="A43" s="3">
        <v>34</v>
      </c>
      <c r="B43" s="3" t="s">
        <v>44</v>
      </c>
      <c r="C43" s="3">
        <f>SUM(B43:B43)</f>
        <v>0</v>
      </c>
      <c r="D43" s="3">
        <f t="shared" ref="D43:D74" si="1">C43+D42</f>
        <v>0</v>
      </c>
    </row>
    <row r="44" spans="1:4" x14ac:dyDescent="0.3">
      <c r="A44" s="3">
        <v>35</v>
      </c>
      <c r="B44" s="3" t="s">
        <v>45</v>
      </c>
      <c r="C44" s="3">
        <f>SUM(B44:B44)</f>
        <v>0</v>
      </c>
      <c r="D44" s="3">
        <f t="shared" si="1"/>
        <v>0</v>
      </c>
    </row>
    <row r="45" spans="1:4" x14ac:dyDescent="0.3">
      <c r="A45" s="3">
        <v>36</v>
      </c>
      <c r="B45" s="3" t="s">
        <v>46</v>
      </c>
      <c r="C45" s="3">
        <f>SUM(B45:B45)</f>
        <v>0</v>
      </c>
      <c r="D45" s="3">
        <f t="shared" si="1"/>
        <v>0</v>
      </c>
    </row>
    <row r="46" spans="1:4" x14ac:dyDescent="0.3">
      <c r="A46" s="3">
        <v>37</v>
      </c>
      <c r="B46" s="3" t="s">
        <v>47</v>
      </c>
      <c r="C46" s="3">
        <f>SUM(B46:B46)</f>
        <v>0</v>
      </c>
      <c r="D46" s="3">
        <f t="shared" si="1"/>
        <v>0</v>
      </c>
    </row>
    <row r="47" spans="1:4" x14ac:dyDescent="0.3">
      <c r="A47" s="3">
        <v>38</v>
      </c>
      <c r="B47" s="3" t="s">
        <v>48</v>
      </c>
      <c r="C47" s="3">
        <f>SUM(B47:B47)</f>
        <v>0</v>
      </c>
      <c r="D47" s="3">
        <f t="shared" si="1"/>
        <v>0</v>
      </c>
    </row>
    <row r="48" spans="1:4" x14ac:dyDescent="0.3">
      <c r="A48" s="3">
        <v>39</v>
      </c>
      <c r="B48" s="3" t="s">
        <v>49</v>
      </c>
      <c r="C48" s="3">
        <f>SUM(B48:B48)</f>
        <v>0</v>
      </c>
      <c r="D48" s="3">
        <f t="shared" si="1"/>
        <v>0</v>
      </c>
    </row>
    <row r="49" spans="1:4" x14ac:dyDescent="0.3">
      <c r="A49" s="3">
        <v>40</v>
      </c>
      <c r="B49" s="3" t="s">
        <v>50</v>
      </c>
      <c r="C49" s="3">
        <f>SUM(B49:B49)</f>
        <v>0</v>
      </c>
      <c r="D49" s="3">
        <f t="shared" si="1"/>
        <v>0</v>
      </c>
    </row>
    <row r="50" spans="1:4" x14ac:dyDescent="0.3">
      <c r="A50" s="3">
        <v>41</v>
      </c>
      <c r="B50" s="3" t="s">
        <v>51</v>
      </c>
      <c r="C50" s="3">
        <f>SUM(B50:B50)</f>
        <v>0</v>
      </c>
      <c r="D50" s="3">
        <f t="shared" si="1"/>
        <v>0</v>
      </c>
    </row>
    <row r="51" spans="1:4" x14ac:dyDescent="0.3">
      <c r="A51" s="3">
        <v>42</v>
      </c>
      <c r="B51" s="3" t="s">
        <v>52</v>
      </c>
      <c r="C51" s="3">
        <f>SUM(B51:B51)</f>
        <v>0</v>
      </c>
      <c r="D51" s="3">
        <f t="shared" si="1"/>
        <v>0</v>
      </c>
    </row>
    <row r="52" spans="1:4" x14ac:dyDescent="0.3">
      <c r="A52" s="3">
        <v>43</v>
      </c>
      <c r="B52" s="3" t="s">
        <v>53</v>
      </c>
      <c r="C52" s="3">
        <f>SUM(B52:B52)</f>
        <v>0</v>
      </c>
      <c r="D52" s="3">
        <f t="shared" si="1"/>
        <v>0</v>
      </c>
    </row>
    <row r="53" spans="1:4" x14ac:dyDescent="0.3">
      <c r="A53" s="3">
        <v>44</v>
      </c>
      <c r="B53" s="3" t="s">
        <v>54</v>
      </c>
      <c r="C53" s="3">
        <f>SUM(B53:B53)</f>
        <v>0</v>
      </c>
      <c r="D53" s="3">
        <f t="shared" si="1"/>
        <v>0</v>
      </c>
    </row>
    <row r="54" spans="1:4" x14ac:dyDescent="0.3">
      <c r="A54" s="3">
        <v>45</v>
      </c>
      <c r="B54" s="3" t="s">
        <v>55</v>
      </c>
      <c r="C54" s="3">
        <f>SUM(B54:B54)</f>
        <v>0</v>
      </c>
      <c r="D54" s="3">
        <f t="shared" si="1"/>
        <v>0</v>
      </c>
    </row>
    <row r="55" spans="1:4" x14ac:dyDescent="0.3">
      <c r="A55" s="3">
        <v>46</v>
      </c>
      <c r="B55" s="3" t="s">
        <v>56</v>
      </c>
      <c r="C55" s="3">
        <f>SUM(B55:B55)</f>
        <v>0</v>
      </c>
      <c r="D55" s="3">
        <f t="shared" si="1"/>
        <v>0</v>
      </c>
    </row>
    <row r="56" spans="1:4" x14ac:dyDescent="0.3">
      <c r="A56" s="3">
        <v>47</v>
      </c>
      <c r="B56" s="3" t="s">
        <v>57</v>
      </c>
      <c r="C56" s="3">
        <f>SUM(B56:B56)</f>
        <v>0</v>
      </c>
      <c r="D56" s="3">
        <f t="shared" si="1"/>
        <v>0</v>
      </c>
    </row>
    <row r="57" spans="1:4" x14ac:dyDescent="0.3">
      <c r="A57" s="3">
        <v>48</v>
      </c>
      <c r="B57" s="3" t="s">
        <v>58</v>
      </c>
      <c r="C57" s="3">
        <f>SUM(B57:B57)</f>
        <v>0</v>
      </c>
      <c r="D57" s="3">
        <f t="shared" si="1"/>
        <v>0</v>
      </c>
    </row>
    <row r="58" spans="1:4" x14ac:dyDescent="0.3">
      <c r="A58" s="3">
        <v>49</v>
      </c>
      <c r="B58" s="3" t="s">
        <v>59</v>
      </c>
      <c r="C58" s="3">
        <f>SUM(B58:B58)</f>
        <v>0</v>
      </c>
      <c r="D58" s="3">
        <f t="shared" si="1"/>
        <v>0</v>
      </c>
    </row>
    <row r="59" spans="1:4" x14ac:dyDescent="0.3">
      <c r="A59" s="3">
        <v>50</v>
      </c>
      <c r="B59" s="3" t="s">
        <v>60</v>
      </c>
      <c r="C59" s="3">
        <f>SUM(B59:B59)</f>
        <v>0</v>
      </c>
      <c r="D59" s="3">
        <f t="shared" si="1"/>
        <v>0</v>
      </c>
    </row>
    <row r="60" spans="1:4" x14ac:dyDescent="0.3">
      <c r="A60" s="3">
        <v>51</v>
      </c>
      <c r="B60" s="3" t="s">
        <v>61</v>
      </c>
      <c r="C60" s="3">
        <f>SUM(B60:B60)</f>
        <v>0</v>
      </c>
      <c r="D60" s="3">
        <f t="shared" si="1"/>
        <v>0</v>
      </c>
    </row>
    <row r="61" spans="1:4" x14ac:dyDescent="0.3">
      <c r="A61" s="3" t="s">
        <v>2</v>
      </c>
      <c r="B61" s="3" t="s">
        <v>62</v>
      </c>
      <c r="C61" s="3">
        <f>SUM(C10:C60)</f>
        <v>0</v>
      </c>
      <c r="D61" s="3"/>
    </row>
  </sheetData>
  <mergeCells count="3">
    <mergeCell ref="A6:D6"/>
    <mergeCell ref="A7:D7"/>
    <mergeCell ref="A8:D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6:D61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4" width="35.21875" customWidth="1"/>
  </cols>
  <sheetData>
    <row r="6" spans="1:4" ht="15.6" x14ac:dyDescent="0.3">
      <c r="A6" s="4" t="s">
        <v>79</v>
      </c>
      <c r="B6" s="5"/>
      <c r="C6" s="5"/>
      <c r="D6" s="6"/>
    </row>
    <row r="7" spans="1:4" ht="15.6" x14ac:dyDescent="0.3">
      <c r="A7" s="4" t="s">
        <v>80</v>
      </c>
      <c r="B7" s="5"/>
      <c r="C7" s="5"/>
      <c r="D7" s="6"/>
    </row>
    <row r="8" spans="1:4" x14ac:dyDescent="0.3">
      <c r="A8" s="7" t="s">
        <v>2</v>
      </c>
      <c r="B8" s="8"/>
      <c r="C8" s="8"/>
      <c r="D8" s="9"/>
    </row>
    <row r="9" spans="1:4" x14ac:dyDescent="0.3">
      <c r="A9" s="1"/>
      <c r="B9" s="1" t="s">
        <v>3</v>
      </c>
      <c r="C9" s="1" t="s">
        <v>96</v>
      </c>
      <c r="D9" s="1" t="s">
        <v>97</v>
      </c>
    </row>
    <row r="10" spans="1:4" x14ac:dyDescent="0.3">
      <c r="A10" s="3">
        <v>1</v>
      </c>
      <c r="B10" s="3" t="s">
        <v>11</v>
      </c>
      <c r="C10" s="3">
        <f>SUM(B10:B10)</f>
        <v>0</v>
      </c>
      <c r="D10" s="3">
        <f>C10</f>
        <v>0</v>
      </c>
    </row>
    <row r="11" spans="1:4" x14ac:dyDescent="0.3">
      <c r="A11" s="3">
        <v>2</v>
      </c>
      <c r="B11" s="3" t="s">
        <v>12</v>
      </c>
      <c r="C11" s="3">
        <f>SUM(B11:B11)</f>
        <v>0</v>
      </c>
      <c r="D11" s="3">
        <f t="shared" ref="D11:D42" si="0">C11+D10</f>
        <v>0</v>
      </c>
    </row>
    <row r="12" spans="1:4" x14ac:dyDescent="0.3">
      <c r="A12" s="3">
        <v>3</v>
      </c>
      <c r="B12" s="3" t="s">
        <v>13</v>
      </c>
      <c r="C12" s="3">
        <f>SUM(B12:B12)</f>
        <v>0</v>
      </c>
      <c r="D12" s="3">
        <f t="shared" si="0"/>
        <v>0</v>
      </c>
    </row>
    <row r="13" spans="1:4" x14ac:dyDescent="0.3">
      <c r="A13" s="3">
        <v>4</v>
      </c>
      <c r="B13" s="3" t="s">
        <v>14</v>
      </c>
      <c r="C13" s="3">
        <f>SUM(B13:B13)</f>
        <v>0</v>
      </c>
      <c r="D13" s="3">
        <f t="shared" si="0"/>
        <v>0</v>
      </c>
    </row>
    <row r="14" spans="1:4" x14ac:dyDescent="0.3">
      <c r="A14" s="3">
        <v>5</v>
      </c>
      <c r="B14" s="3" t="s">
        <v>15</v>
      </c>
      <c r="C14" s="3">
        <f>SUM(B14:B14)</f>
        <v>0</v>
      </c>
      <c r="D14" s="3">
        <f t="shared" si="0"/>
        <v>0</v>
      </c>
    </row>
    <row r="15" spans="1:4" x14ac:dyDescent="0.3">
      <c r="A15" s="3">
        <v>6</v>
      </c>
      <c r="B15" s="3" t="s">
        <v>16</v>
      </c>
      <c r="C15" s="3">
        <f>SUM(B15:B15)</f>
        <v>0</v>
      </c>
      <c r="D15" s="3">
        <f t="shared" si="0"/>
        <v>0</v>
      </c>
    </row>
    <row r="16" spans="1:4" x14ac:dyDescent="0.3">
      <c r="A16" s="3">
        <v>7</v>
      </c>
      <c r="B16" s="3" t="s">
        <v>17</v>
      </c>
      <c r="C16" s="3">
        <f>SUM(B16:B16)</f>
        <v>0</v>
      </c>
      <c r="D16" s="3">
        <f t="shared" si="0"/>
        <v>0</v>
      </c>
    </row>
    <row r="17" spans="1:4" x14ac:dyDescent="0.3">
      <c r="A17" s="3">
        <v>8</v>
      </c>
      <c r="B17" s="3" t="s">
        <v>18</v>
      </c>
      <c r="C17" s="3">
        <f>SUM(B17:B17)</f>
        <v>0</v>
      </c>
      <c r="D17" s="3">
        <f t="shared" si="0"/>
        <v>0</v>
      </c>
    </row>
    <row r="18" spans="1:4" x14ac:dyDescent="0.3">
      <c r="A18" s="3">
        <v>9</v>
      </c>
      <c r="B18" s="3" t="s">
        <v>19</v>
      </c>
      <c r="C18" s="3">
        <f>SUM(B18:B18)</f>
        <v>0</v>
      </c>
      <c r="D18" s="3">
        <f t="shared" si="0"/>
        <v>0</v>
      </c>
    </row>
    <row r="19" spans="1:4" x14ac:dyDescent="0.3">
      <c r="A19" s="3">
        <v>10</v>
      </c>
      <c r="B19" s="3" t="s">
        <v>20</v>
      </c>
      <c r="C19" s="3">
        <f>SUM(B19:B19)</f>
        <v>0</v>
      </c>
      <c r="D19" s="3">
        <f t="shared" si="0"/>
        <v>0</v>
      </c>
    </row>
    <row r="20" spans="1:4" x14ac:dyDescent="0.3">
      <c r="A20" s="3">
        <v>11</v>
      </c>
      <c r="B20" s="3" t="s">
        <v>21</v>
      </c>
      <c r="C20" s="3">
        <f>SUM(B20:B20)</f>
        <v>0</v>
      </c>
      <c r="D20" s="3">
        <f t="shared" si="0"/>
        <v>0</v>
      </c>
    </row>
    <row r="21" spans="1:4" x14ac:dyDescent="0.3">
      <c r="A21" s="3">
        <v>12</v>
      </c>
      <c r="B21" s="3" t="s">
        <v>22</v>
      </c>
      <c r="C21" s="3">
        <f>SUM(B21:B21)</f>
        <v>0</v>
      </c>
      <c r="D21" s="3">
        <f t="shared" si="0"/>
        <v>0</v>
      </c>
    </row>
    <row r="22" spans="1:4" x14ac:dyDescent="0.3">
      <c r="A22" s="3">
        <v>13</v>
      </c>
      <c r="B22" s="3" t="s">
        <v>23</v>
      </c>
      <c r="C22" s="3">
        <f>SUM(B22:B22)</f>
        <v>0</v>
      </c>
      <c r="D22" s="3">
        <f t="shared" si="0"/>
        <v>0</v>
      </c>
    </row>
    <row r="23" spans="1:4" x14ac:dyDescent="0.3">
      <c r="A23" s="3">
        <v>14</v>
      </c>
      <c r="B23" s="3" t="s">
        <v>24</v>
      </c>
      <c r="C23" s="3">
        <f>SUM(B23:B23)</f>
        <v>0</v>
      </c>
      <c r="D23" s="3">
        <f t="shared" si="0"/>
        <v>0</v>
      </c>
    </row>
    <row r="24" spans="1:4" x14ac:dyDescent="0.3">
      <c r="A24" s="3">
        <v>15</v>
      </c>
      <c r="B24" s="3" t="s">
        <v>25</v>
      </c>
      <c r="C24" s="3">
        <f>SUM(B24:B24)</f>
        <v>0</v>
      </c>
      <c r="D24" s="3">
        <f t="shared" si="0"/>
        <v>0</v>
      </c>
    </row>
    <row r="25" spans="1:4" x14ac:dyDescent="0.3">
      <c r="A25" s="3">
        <v>16</v>
      </c>
      <c r="B25" s="3" t="s">
        <v>26</v>
      </c>
      <c r="C25" s="3">
        <f>SUM(B25:B25)</f>
        <v>0</v>
      </c>
      <c r="D25" s="3">
        <f t="shared" si="0"/>
        <v>0</v>
      </c>
    </row>
    <row r="26" spans="1:4" x14ac:dyDescent="0.3">
      <c r="A26" s="3">
        <v>17</v>
      </c>
      <c r="B26" s="3" t="s">
        <v>27</v>
      </c>
      <c r="C26" s="3">
        <f>SUM(B26:B26)</f>
        <v>0</v>
      </c>
      <c r="D26" s="3">
        <f t="shared" si="0"/>
        <v>0</v>
      </c>
    </row>
    <row r="27" spans="1:4" x14ac:dyDescent="0.3">
      <c r="A27" s="3">
        <v>18</v>
      </c>
      <c r="B27" s="3" t="s">
        <v>28</v>
      </c>
      <c r="C27" s="3">
        <f>SUM(B27:B27)</f>
        <v>0</v>
      </c>
      <c r="D27" s="3">
        <f t="shared" si="0"/>
        <v>0</v>
      </c>
    </row>
    <row r="28" spans="1:4" x14ac:dyDescent="0.3">
      <c r="A28" s="3">
        <v>19</v>
      </c>
      <c r="B28" s="3" t="s">
        <v>29</v>
      </c>
      <c r="C28" s="3">
        <f>SUM(B28:B28)</f>
        <v>0</v>
      </c>
      <c r="D28" s="3">
        <f t="shared" si="0"/>
        <v>0</v>
      </c>
    </row>
    <row r="29" spans="1:4" x14ac:dyDescent="0.3">
      <c r="A29" s="3">
        <v>20</v>
      </c>
      <c r="B29" s="3" t="s">
        <v>30</v>
      </c>
      <c r="C29" s="3">
        <f>SUM(B29:B29)</f>
        <v>0</v>
      </c>
      <c r="D29" s="3">
        <f t="shared" si="0"/>
        <v>0</v>
      </c>
    </row>
    <row r="30" spans="1:4" x14ac:dyDescent="0.3">
      <c r="A30" s="3">
        <v>21</v>
      </c>
      <c r="B30" s="3" t="s">
        <v>31</v>
      </c>
      <c r="C30" s="3">
        <f>SUM(B30:B30)</f>
        <v>0</v>
      </c>
      <c r="D30" s="3">
        <f t="shared" si="0"/>
        <v>0</v>
      </c>
    </row>
    <row r="31" spans="1:4" x14ac:dyDescent="0.3">
      <c r="A31" s="3">
        <v>22</v>
      </c>
      <c r="B31" s="3" t="s">
        <v>32</v>
      </c>
      <c r="C31" s="3">
        <f>SUM(B31:B31)</f>
        <v>0</v>
      </c>
      <c r="D31" s="3">
        <f t="shared" si="0"/>
        <v>0</v>
      </c>
    </row>
    <row r="32" spans="1:4" x14ac:dyDescent="0.3">
      <c r="A32" s="3">
        <v>23</v>
      </c>
      <c r="B32" s="3" t="s">
        <v>33</v>
      </c>
      <c r="C32" s="3">
        <f>SUM(B32:B32)</f>
        <v>0</v>
      </c>
      <c r="D32" s="3">
        <f t="shared" si="0"/>
        <v>0</v>
      </c>
    </row>
    <row r="33" spans="1:4" x14ac:dyDescent="0.3">
      <c r="A33" s="3">
        <v>24</v>
      </c>
      <c r="B33" s="3" t="s">
        <v>34</v>
      </c>
      <c r="C33" s="3">
        <f>SUM(B33:B33)</f>
        <v>0</v>
      </c>
      <c r="D33" s="3">
        <f t="shared" si="0"/>
        <v>0</v>
      </c>
    </row>
    <row r="34" spans="1:4" x14ac:dyDescent="0.3">
      <c r="A34" s="3">
        <v>25</v>
      </c>
      <c r="B34" s="3" t="s">
        <v>35</v>
      </c>
      <c r="C34" s="3">
        <f>SUM(B34:B34)</f>
        <v>0</v>
      </c>
      <c r="D34" s="3">
        <f t="shared" si="0"/>
        <v>0</v>
      </c>
    </row>
    <row r="35" spans="1:4" x14ac:dyDescent="0.3">
      <c r="A35" s="3">
        <v>26</v>
      </c>
      <c r="B35" s="3" t="s">
        <v>36</v>
      </c>
      <c r="C35" s="3">
        <f>SUM(B35:B35)</f>
        <v>0</v>
      </c>
      <c r="D35" s="3">
        <f t="shared" si="0"/>
        <v>0</v>
      </c>
    </row>
    <row r="36" spans="1:4" x14ac:dyDescent="0.3">
      <c r="A36" s="3">
        <v>27</v>
      </c>
      <c r="B36" s="3" t="s">
        <v>37</v>
      </c>
      <c r="C36" s="3">
        <f>SUM(B36:B36)</f>
        <v>0</v>
      </c>
      <c r="D36" s="3">
        <f t="shared" si="0"/>
        <v>0</v>
      </c>
    </row>
    <row r="37" spans="1:4" x14ac:dyDescent="0.3">
      <c r="A37" s="3">
        <v>28</v>
      </c>
      <c r="B37" s="3" t="s">
        <v>38</v>
      </c>
      <c r="C37" s="3">
        <f>SUM(B37:B37)</f>
        <v>0</v>
      </c>
      <c r="D37" s="3">
        <f t="shared" si="0"/>
        <v>0</v>
      </c>
    </row>
    <row r="38" spans="1:4" x14ac:dyDescent="0.3">
      <c r="A38" s="3">
        <v>29</v>
      </c>
      <c r="B38" s="3" t="s">
        <v>39</v>
      </c>
      <c r="C38" s="3">
        <f>SUM(B38:B38)</f>
        <v>0</v>
      </c>
      <c r="D38" s="3">
        <f t="shared" si="0"/>
        <v>0</v>
      </c>
    </row>
    <row r="39" spans="1:4" x14ac:dyDescent="0.3">
      <c r="A39" s="3">
        <v>30</v>
      </c>
      <c r="B39" s="3" t="s">
        <v>40</v>
      </c>
      <c r="C39" s="3">
        <f>SUM(B39:B39)</f>
        <v>0</v>
      </c>
      <c r="D39" s="3">
        <f t="shared" si="0"/>
        <v>0</v>
      </c>
    </row>
    <row r="40" spans="1:4" x14ac:dyDescent="0.3">
      <c r="A40" s="3">
        <v>31</v>
      </c>
      <c r="B40" s="3" t="s">
        <v>41</v>
      </c>
      <c r="C40" s="3">
        <f>SUM(B40:B40)</f>
        <v>0</v>
      </c>
      <c r="D40" s="3">
        <f t="shared" si="0"/>
        <v>0</v>
      </c>
    </row>
    <row r="41" spans="1:4" x14ac:dyDescent="0.3">
      <c r="A41" s="3">
        <v>32</v>
      </c>
      <c r="B41" s="3" t="s">
        <v>42</v>
      </c>
      <c r="C41" s="3">
        <f>SUM(B41:B41)</f>
        <v>0</v>
      </c>
      <c r="D41" s="3">
        <f t="shared" si="0"/>
        <v>0</v>
      </c>
    </row>
    <row r="42" spans="1:4" x14ac:dyDescent="0.3">
      <c r="A42" s="3">
        <v>33</v>
      </c>
      <c r="B42" s="3" t="s">
        <v>43</v>
      </c>
      <c r="C42" s="3">
        <f>SUM(B42:B42)</f>
        <v>0</v>
      </c>
      <c r="D42" s="3">
        <f t="shared" si="0"/>
        <v>0</v>
      </c>
    </row>
    <row r="43" spans="1:4" x14ac:dyDescent="0.3">
      <c r="A43" s="3">
        <v>34</v>
      </c>
      <c r="B43" s="3" t="s">
        <v>44</v>
      </c>
      <c r="C43" s="3">
        <f>SUM(B43:B43)</f>
        <v>0</v>
      </c>
      <c r="D43" s="3">
        <f t="shared" ref="D43:D74" si="1">C43+D42</f>
        <v>0</v>
      </c>
    </row>
    <row r="44" spans="1:4" x14ac:dyDescent="0.3">
      <c r="A44" s="3">
        <v>35</v>
      </c>
      <c r="B44" s="3" t="s">
        <v>45</v>
      </c>
      <c r="C44" s="3">
        <f>SUM(B44:B44)</f>
        <v>0</v>
      </c>
      <c r="D44" s="3">
        <f t="shared" si="1"/>
        <v>0</v>
      </c>
    </row>
    <row r="45" spans="1:4" x14ac:dyDescent="0.3">
      <c r="A45" s="3">
        <v>36</v>
      </c>
      <c r="B45" s="3" t="s">
        <v>46</v>
      </c>
      <c r="C45" s="3">
        <f>SUM(B45:B45)</f>
        <v>0</v>
      </c>
      <c r="D45" s="3">
        <f t="shared" si="1"/>
        <v>0</v>
      </c>
    </row>
    <row r="46" spans="1:4" x14ac:dyDescent="0.3">
      <c r="A46" s="3">
        <v>37</v>
      </c>
      <c r="B46" s="3" t="s">
        <v>47</v>
      </c>
      <c r="C46" s="3">
        <f>SUM(B46:B46)</f>
        <v>0</v>
      </c>
      <c r="D46" s="3">
        <f t="shared" si="1"/>
        <v>0</v>
      </c>
    </row>
    <row r="47" spans="1:4" x14ac:dyDescent="0.3">
      <c r="A47" s="3">
        <v>38</v>
      </c>
      <c r="B47" s="3" t="s">
        <v>48</v>
      </c>
      <c r="C47" s="3">
        <f>SUM(B47:B47)</f>
        <v>0</v>
      </c>
      <c r="D47" s="3">
        <f t="shared" si="1"/>
        <v>0</v>
      </c>
    </row>
    <row r="48" spans="1:4" x14ac:dyDescent="0.3">
      <c r="A48" s="3">
        <v>39</v>
      </c>
      <c r="B48" s="3" t="s">
        <v>49</v>
      </c>
      <c r="C48" s="3">
        <f>SUM(B48:B48)</f>
        <v>0</v>
      </c>
      <c r="D48" s="3">
        <f t="shared" si="1"/>
        <v>0</v>
      </c>
    </row>
    <row r="49" spans="1:4" x14ac:dyDescent="0.3">
      <c r="A49" s="3">
        <v>40</v>
      </c>
      <c r="B49" s="3" t="s">
        <v>50</v>
      </c>
      <c r="C49" s="3">
        <f>SUM(B49:B49)</f>
        <v>0</v>
      </c>
      <c r="D49" s="3">
        <f t="shared" si="1"/>
        <v>0</v>
      </c>
    </row>
    <row r="50" spans="1:4" x14ac:dyDescent="0.3">
      <c r="A50" s="3">
        <v>41</v>
      </c>
      <c r="B50" s="3" t="s">
        <v>51</v>
      </c>
      <c r="C50" s="3">
        <f>SUM(B50:B50)</f>
        <v>0</v>
      </c>
      <c r="D50" s="3">
        <f t="shared" si="1"/>
        <v>0</v>
      </c>
    </row>
    <row r="51" spans="1:4" x14ac:dyDescent="0.3">
      <c r="A51" s="3">
        <v>42</v>
      </c>
      <c r="B51" s="3" t="s">
        <v>52</v>
      </c>
      <c r="C51" s="3">
        <f>SUM(B51:B51)</f>
        <v>0</v>
      </c>
      <c r="D51" s="3">
        <f t="shared" si="1"/>
        <v>0</v>
      </c>
    </row>
    <row r="52" spans="1:4" x14ac:dyDescent="0.3">
      <c r="A52" s="3">
        <v>43</v>
      </c>
      <c r="B52" s="3" t="s">
        <v>53</v>
      </c>
      <c r="C52" s="3">
        <f>SUM(B52:B52)</f>
        <v>0</v>
      </c>
      <c r="D52" s="3">
        <f t="shared" si="1"/>
        <v>0</v>
      </c>
    </row>
    <row r="53" spans="1:4" x14ac:dyDescent="0.3">
      <c r="A53" s="3">
        <v>44</v>
      </c>
      <c r="B53" s="3" t="s">
        <v>54</v>
      </c>
      <c r="C53" s="3">
        <f>SUM(B53:B53)</f>
        <v>0</v>
      </c>
      <c r="D53" s="3">
        <f t="shared" si="1"/>
        <v>0</v>
      </c>
    </row>
    <row r="54" spans="1:4" x14ac:dyDescent="0.3">
      <c r="A54" s="3">
        <v>45</v>
      </c>
      <c r="B54" s="3" t="s">
        <v>55</v>
      </c>
      <c r="C54" s="3">
        <f>SUM(B54:B54)</f>
        <v>0</v>
      </c>
      <c r="D54" s="3">
        <f t="shared" si="1"/>
        <v>0</v>
      </c>
    </row>
    <row r="55" spans="1:4" x14ac:dyDescent="0.3">
      <c r="A55" s="3">
        <v>46</v>
      </c>
      <c r="B55" s="3" t="s">
        <v>56</v>
      </c>
      <c r="C55" s="3">
        <f>SUM(B55:B55)</f>
        <v>0</v>
      </c>
      <c r="D55" s="3">
        <f t="shared" si="1"/>
        <v>0</v>
      </c>
    </row>
    <row r="56" spans="1:4" x14ac:dyDescent="0.3">
      <c r="A56" s="3">
        <v>47</v>
      </c>
      <c r="B56" s="3" t="s">
        <v>57</v>
      </c>
      <c r="C56" s="3">
        <f>SUM(B56:B56)</f>
        <v>0</v>
      </c>
      <c r="D56" s="3">
        <f t="shared" si="1"/>
        <v>0</v>
      </c>
    </row>
    <row r="57" spans="1:4" x14ac:dyDescent="0.3">
      <c r="A57" s="3">
        <v>48</v>
      </c>
      <c r="B57" s="3" t="s">
        <v>58</v>
      </c>
      <c r="C57" s="3">
        <f>SUM(B57:B57)</f>
        <v>0</v>
      </c>
      <c r="D57" s="3">
        <f t="shared" si="1"/>
        <v>0</v>
      </c>
    </row>
    <row r="58" spans="1:4" x14ac:dyDescent="0.3">
      <c r="A58" s="3">
        <v>49</v>
      </c>
      <c r="B58" s="3" t="s">
        <v>59</v>
      </c>
      <c r="C58" s="3">
        <f>SUM(B58:B58)</f>
        <v>0</v>
      </c>
      <c r="D58" s="3">
        <f t="shared" si="1"/>
        <v>0</v>
      </c>
    </row>
    <row r="59" spans="1:4" x14ac:dyDescent="0.3">
      <c r="A59" s="3">
        <v>50</v>
      </c>
      <c r="B59" s="3" t="s">
        <v>60</v>
      </c>
      <c r="C59" s="3">
        <f>SUM(B59:B59)</f>
        <v>0</v>
      </c>
      <c r="D59" s="3">
        <f t="shared" si="1"/>
        <v>0</v>
      </c>
    </row>
    <row r="60" spans="1:4" x14ac:dyDescent="0.3">
      <c r="A60" s="3">
        <v>51</v>
      </c>
      <c r="B60" s="3" t="s">
        <v>61</v>
      </c>
      <c r="C60" s="3">
        <f>SUM(B60:B60)</f>
        <v>0</v>
      </c>
      <c r="D60" s="3">
        <f t="shared" si="1"/>
        <v>0</v>
      </c>
    </row>
    <row r="61" spans="1:4" x14ac:dyDescent="0.3">
      <c r="A61" s="3" t="s">
        <v>2</v>
      </c>
      <c r="B61" s="3" t="s">
        <v>62</v>
      </c>
      <c r="C61" s="3">
        <f>SUM(C10:C60)</f>
        <v>0</v>
      </c>
      <c r="D61" s="3"/>
    </row>
  </sheetData>
  <mergeCells count="3">
    <mergeCell ref="A6:D6"/>
    <mergeCell ref="A7:D7"/>
    <mergeCell ref="A8:D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6:F61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0.88671875" customWidth="1"/>
    <col min="4" max="4" width="12.5546875" customWidth="1"/>
    <col min="5" max="6" width="30.21875" customWidth="1"/>
  </cols>
  <sheetData>
    <row r="6" spans="1:6" ht="15.6" x14ac:dyDescent="0.3">
      <c r="A6" s="4" t="s">
        <v>81</v>
      </c>
      <c r="B6" s="5"/>
      <c r="C6" s="5"/>
      <c r="D6" s="5"/>
      <c r="E6" s="5"/>
      <c r="F6" s="6"/>
    </row>
    <row r="7" spans="1:6" ht="15.6" x14ac:dyDescent="0.3">
      <c r="A7" s="4" t="s">
        <v>82</v>
      </c>
      <c r="B7" s="5"/>
      <c r="C7" s="5"/>
      <c r="D7" s="5"/>
      <c r="E7" s="5"/>
      <c r="F7" s="6"/>
    </row>
    <row r="8" spans="1:6" x14ac:dyDescent="0.3">
      <c r="A8" s="7" t="s">
        <v>2</v>
      </c>
      <c r="B8" s="8"/>
      <c r="C8" s="8"/>
      <c r="D8" s="8"/>
      <c r="E8" s="8"/>
      <c r="F8" s="9"/>
    </row>
    <row r="9" spans="1:6" x14ac:dyDescent="0.3">
      <c r="A9" s="1"/>
      <c r="B9" s="1" t="s">
        <v>3</v>
      </c>
      <c r="C9" s="1" t="s">
        <v>6</v>
      </c>
      <c r="D9" s="1" t="s">
        <v>10</v>
      </c>
      <c r="E9" s="1" t="s">
        <v>96</v>
      </c>
      <c r="F9" s="1" t="s">
        <v>97</v>
      </c>
    </row>
    <row r="10" spans="1:6" x14ac:dyDescent="0.3">
      <c r="A10" s="3">
        <v>1</v>
      </c>
      <c r="B10" s="3" t="s">
        <v>11</v>
      </c>
      <c r="C10" s="2">
        <v>0</v>
      </c>
      <c r="D10" s="2">
        <v>212</v>
      </c>
      <c r="E10" s="3">
        <f>SUM(C10:D10)</f>
        <v>212</v>
      </c>
      <c r="F10" s="3">
        <f>E10</f>
        <v>212</v>
      </c>
    </row>
    <row r="11" spans="1:6" x14ac:dyDescent="0.3">
      <c r="A11" s="3">
        <v>2</v>
      </c>
      <c r="B11" s="3" t="s">
        <v>12</v>
      </c>
      <c r="C11" s="2">
        <v>839</v>
      </c>
      <c r="D11" s="2">
        <v>455</v>
      </c>
      <c r="E11" s="3">
        <f>SUM(C11:D11)</f>
        <v>1294</v>
      </c>
      <c r="F11" s="3">
        <f t="shared" ref="F11:F42" si="0">E11+F10</f>
        <v>1506</v>
      </c>
    </row>
    <row r="12" spans="1:6" x14ac:dyDescent="0.3">
      <c r="A12" s="3">
        <v>3</v>
      </c>
      <c r="B12" s="3" t="s">
        <v>13</v>
      </c>
      <c r="C12" s="2">
        <v>157</v>
      </c>
      <c r="D12" s="2">
        <v>0</v>
      </c>
      <c r="E12" s="3">
        <f>SUM(C12:D12)</f>
        <v>157</v>
      </c>
      <c r="F12" s="3">
        <f t="shared" si="0"/>
        <v>1663</v>
      </c>
    </row>
    <row r="13" spans="1:6" x14ac:dyDescent="0.3">
      <c r="A13" s="3">
        <v>4</v>
      </c>
      <c r="B13" s="3" t="s">
        <v>14</v>
      </c>
      <c r="C13" s="2">
        <v>0</v>
      </c>
      <c r="D13" s="2">
        <v>0</v>
      </c>
      <c r="E13" s="3">
        <f>SUM(C13:D13)</f>
        <v>0</v>
      </c>
      <c r="F13" s="3">
        <f t="shared" si="0"/>
        <v>1663</v>
      </c>
    </row>
    <row r="14" spans="1:6" x14ac:dyDescent="0.3">
      <c r="A14" s="3">
        <v>5</v>
      </c>
      <c r="B14" s="3" t="s">
        <v>15</v>
      </c>
      <c r="C14" s="2">
        <v>0</v>
      </c>
      <c r="D14" s="2">
        <v>0</v>
      </c>
      <c r="E14" s="3">
        <f>SUM(C14:D14)</f>
        <v>0</v>
      </c>
      <c r="F14" s="3">
        <f t="shared" si="0"/>
        <v>1663</v>
      </c>
    </row>
    <row r="15" spans="1:6" x14ac:dyDescent="0.3">
      <c r="A15" s="3">
        <v>6</v>
      </c>
      <c r="B15" s="3" t="s">
        <v>16</v>
      </c>
      <c r="C15" s="2">
        <v>0</v>
      </c>
      <c r="D15" s="2">
        <v>0</v>
      </c>
      <c r="E15" s="3">
        <f>SUM(C15:D15)</f>
        <v>0</v>
      </c>
      <c r="F15" s="3">
        <f t="shared" si="0"/>
        <v>1663</v>
      </c>
    </row>
    <row r="16" spans="1:6" x14ac:dyDescent="0.3">
      <c r="A16" s="3">
        <v>7</v>
      </c>
      <c r="B16" s="3" t="s">
        <v>17</v>
      </c>
      <c r="C16" s="2">
        <v>0</v>
      </c>
      <c r="D16" s="2">
        <v>0</v>
      </c>
      <c r="E16" s="3">
        <f>SUM(C16:D16)</f>
        <v>0</v>
      </c>
      <c r="F16" s="3">
        <f t="shared" si="0"/>
        <v>1663</v>
      </c>
    </row>
    <row r="17" spans="1:6" x14ac:dyDescent="0.3">
      <c r="A17" s="3">
        <v>8</v>
      </c>
      <c r="B17" s="3" t="s">
        <v>18</v>
      </c>
      <c r="C17" s="2">
        <v>0</v>
      </c>
      <c r="D17" s="2">
        <v>0</v>
      </c>
      <c r="E17" s="3">
        <f>SUM(C17:D17)</f>
        <v>0</v>
      </c>
      <c r="F17" s="3">
        <f t="shared" si="0"/>
        <v>1663</v>
      </c>
    </row>
    <row r="18" spans="1:6" x14ac:dyDescent="0.3">
      <c r="A18" s="3">
        <v>9</v>
      </c>
      <c r="B18" s="3" t="s">
        <v>19</v>
      </c>
      <c r="C18" s="2">
        <v>0</v>
      </c>
      <c r="D18" s="2">
        <v>0</v>
      </c>
      <c r="E18" s="3">
        <f>SUM(C18:D18)</f>
        <v>0</v>
      </c>
      <c r="F18" s="3">
        <f t="shared" si="0"/>
        <v>1663</v>
      </c>
    </row>
    <row r="19" spans="1:6" x14ac:dyDescent="0.3">
      <c r="A19" s="3">
        <v>10</v>
      </c>
      <c r="B19" s="3" t="s">
        <v>20</v>
      </c>
      <c r="C19" s="2">
        <v>0</v>
      </c>
      <c r="D19" s="2">
        <v>0</v>
      </c>
      <c r="E19" s="3">
        <f>SUM(C19:D19)</f>
        <v>0</v>
      </c>
      <c r="F19" s="3">
        <f t="shared" si="0"/>
        <v>1663</v>
      </c>
    </row>
    <row r="20" spans="1:6" x14ac:dyDescent="0.3">
      <c r="A20" s="3">
        <v>11</v>
      </c>
      <c r="B20" s="3" t="s">
        <v>21</v>
      </c>
      <c r="C20" s="2">
        <v>0</v>
      </c>
      <c r="D20" s="2">
        <v>0</v>
      </c>
      <c r="E20" s="3">
        <f>SUM(C20:D20)</f>
        <v>0</v>
      </c>
      <c r="F20" s="3">
        <f t="shared" si="0"/>
        <v>1663</v>
      </c>
    </row>
    <row r="21" spans="1:6" x14ac:dyDescent="0.3">
      <c r="A21" s="3">
        <v>12</v>
      </c>
      <c r="B21" s="3" t="s">
        <v>22</v>
      </c>
      <c r="C21" s="2">
        <v>0</v>
      </c>
      <c r="D21" s="2">
        <v>0</v>
      </c>
      <c r="E21" s="3">
        <f>SUM(C21:D21)</f>
        <v>0</v>
      </c>
      <c r="F21" s="3">
        <f t="shared" si="0"/>
        <v>1663</v>
      </c>
    </row>
    <row r="22" spans="1:6" x14ac:dyDescent="0.3">
      <c r="A22" s="3">
        <v>13</v>
      </c>
      <c r="B22" s="3" t="s">
        <v>23</v>
      </c>
      <c r="C22" s="2">
        <v>0</v>
      </c>
      <c r="D22" s="2">
        <v>0</v>
      </c>
      <c r="E22" s="3">
        <f>SUM(C22:D22)</f>
        <v>0</v>
      </c>
      <c r="F22" s="3">
        <f t="shared" si="0"/>
        <v>1663</v>
      </c>
    </row>
    <row r="23" spans="1:6" x14ac:dyDescent="0.3">
      <c r="A23" s="3">
        <v>14</v>
      </c>
      <c r="B23" s="3" t="s">
        <v>24</v>
      </c>
      <c r="C23" s="2">
        <v>0</v>
      </c>
      <c r="D23" s="2">
        <v>0</v>
      </c>
      <c r="E23" s="3">
        <f>SUM(C23:D23)</f>
        <v>0</v>
      </c>
      <c r="F23" s="3">
        <f t="shared" si="0"/>
        <v>1663</v>
      </c>
    </row>
    <row r="24" spans="1:6" x14ac:dyDescent="0.3">
      <c r="A24" s="3">
        <v>15</v>
      </c>
      <c r="B24" s="3" t="s">
        <v>25</v>
      </c>
      <c r="C24" s="2">
        <v>0</v>
      </c>
      <c r="D24" s="2">
        <v>0</v>
      </c>
      <c r="E24" s="3">
        <f>SUM(C24:D24)</f>
        <v>0</v>
      </c>
      <c r="F24" s="3">
        <f t="shared" si="0"/>
        <v>1663</v>
      </c>
    </row>
    <row r="25" spans="1:6" x14ac:dyDescent="0.3">
      <c r="A25" s="3">
        <v>16</v>
      </c>
      <c r="B25" s="3" t="s">
        <v>26</v>
      </c>
      <c r="C25" s="2">
        <v>0</v>
      </c>
      <c r="D25" s="2">
        <v>0</v>
      </c>
      <c r="E25" s="3">
        <f>SUM(C25:D25)</f>
        <v>0</v>
      </c>
      <c r="F25" s="3">
        <f t="shared" si="0"/>
        <v>1663</v>
      </c>
    </row>
    <row r="26" spans="1:6" x14ac:dyDescent="0.3">
      <c r="A26" s="3">
        <v>17</v>
      </c>
      <c r="B26" s="3" t="s">
        <v>27</v>
      </c>
      <c r="C26" s="2">
        <v>0</v>
      </c>
      <c r="D26" s="2">
        <v>0</v>
      </c>
      <c r="E26" s="3">
        <f>SUM(C26:D26)</f>
        <v>0</v>
      </c>
      <c r="F26" s="3">
        <f t="shared" si="0"/>
        <v>1663</v>
      </c>
    </row>
    <row r="27" spans="1:6" x14ac:dyDescent="0.3">
      <c r="A27" s="3">
        <v>18</v>
      </c>
      <c r="B27" s="3" t="s">
        <v>28</v>
      </c>
      <c r="C27" s="2">
        <v>0</v>
      </c>
      <c r="D27" s="2">
        <v>0</v>
      </c>
      <c r="E27" s="3">
        <f>SUM(C27:D27)</f>
        <v>0</v>
      </c>
      <c r="F27" s="3">
        <f t="shared" si="0"/>
        <v>1663</v>
      </c>
    </row>
    <row r="28" spans="1:6" x14ac:dyDescent="0.3">
      <c r="A28" s="3">
        <v>19</v>
      </c>
      <c r="B28" s="3" t="s">
        <v>29</v>
      </c>
      <c r="C28" s="2">
        <v>0</v>
      </c>
      <c r="D28" s="2">
        <v>0</v>
      </c>
      <c r="E28" s="3">
        <f>SUM(C28:D28)</f>
        <v>0</v>
      </c>
      <c r="F28" s="3">
        <f t="shared" si="0"/>
        <v>1663</v>
      </c>
    </row>
    <row r="29" spans="1:6" x14ac:dyDescent="0.3">
      <c r="A29" s="3">
        <v>20</v>
      </c>
      <c r="B29" s="3" t="s">
        <v>30</v>
      </c>
      <c r="C29" s="2">
        <v>0</v>
      </c>
      <c r="D29" s="2">
        <v>0</v>
      </c>
      <c r="E29" s="3">
        <f>SUM(C29:D29)</f>
        <v>0</v>
      </c>
      <c r="F29" s="3">
        <f t="shared" si="0"/>
        <v>1663</v>
      </c>
    </row>
    <row r="30" spans="1:6" x14ac:dyDescent="0.3">
      <c r="A30" s="3">
        <v>21</v>
      </c>
      <c r="B30" s="3" t="s">
        <v>31</v>
      </c>
      <c r="C30" s="2">
        <v>0</v>
      </c>
      <c r="D30" s="2">
        <v>0</v>
      </c>
      <c r="E30" s="3">
        <f>SUM(C30:D30)</f>
        <v>0</v>
      </c>
      <c r="F30" s="3">
        <f t="shared" si="0"/>
        <v>1663</v>
      </c>
    </row>
    <row r="31" spans="1:6" x14ac:dyDescent="0.3">
      <c r="A31" s="3">
        <v>22</v>
      </c>
      <c r="B31" s="3" t="s">
        <v>32</v>
      </c>
      <c r="C31" s="2">
        <v>0</v>
      </c>
      <c r="D31" s="2">
        <v>0</v>
      </c>
      <c r="E31" s="3">
        <f>SUM(C31:D31)</f>
        <v>0</v>
      </c>
      <c r="F31" s="3">
        <f t="shared" si="0"/>
        <v>1663</v>
      </c>
    </row>
    <row r="32" spans="1:6" x14ac:dyDescent="0.3">
      <c r="A32" s="3">
        <v>23</v>
      </c>
      <c r="B32" s="3" t="s">
        <v>33</v>
      </c>
      <c r="C32" s="2">
        <v>0</v>
      </c>
      <c r="D32" s="2">
        <v>0</v>
      </c>
      <c r="E32" s="3">
        <f>SUM(C32:D32)</f>
        <v>0</v>
      </c>
      <c r="F32" s="3">
        <f t="shared" si="0"/>
        <v>1663</v>
      </c>
    </row>
    <row r="33" spans="1:6" x14ac:dyDescent="0.3">
      <c r="A33" s="3">
        <v>24</v>
      </c>
      <c r="B33" s="3" t="s">
        <v>34</v>
      </c>
      <c r="C33" s="2">
        <v>0</v>
      </c>
      <c r="D33" s="2">
        <v>0</v>
      </c>
      <c r="E33" s="3">
        <f>SUM(C33:D33)</f>
        <v>0</v>
      </c>
      <c r="F33" s="3">
        <f t="shared" si="0"/>
        <v>1663</v>
      </c>
    </row>
    <row r="34" spans="1:6" x14ac:dyDescent="0.3">
      <c r="A34" s="3">
        <v>25</v>
      </c>
      <c r="B34" s="3" t="s">
        <v>35</v>
      </c>
      <c r="C34" s="2">
        <v>0</v>
      </c>
      <c r="D34" s="2">
        <v>0</v>
      </c>
      <c r="E34" s="3">
        <f>SUM(C34:D34)</f>
        <v>0</v>
      </c>
      <c r="F34" s="3">
        <f t="shared" si="0"/>
        <v>1663</v>
      </c>
    </row>
    <row r="35" spans="1:6" x14ac:dyDescent="0.3">
      <c r="A35" s="3">
        <v>26</v>
      </c>
      <c r="B35" s="3" t="s">
        <v>36</v>
      </c>
      <c r="C35" s="2">
        <v>0</v>
      </c>
      <c r="D35" s="2">
        <v>0</v>
      </c>
      <c r="E35" s="3">
        <f>SUM(C35:D35)</f>
        <v>0</v>
      </c>
      <c r="F35" s="3">
        <f t="shared" si="0"/>
        <v>1663</v>
      </c>
    </row>
    <row r="36" spans="1:6" x14ac:dyDescent="0.3">
      <c r="A36" s="3">
        <v>27</v>
      </c>
      <c r="B36" s="3" t="s">
        <v>37</v>
      </c>
      <c r="C36" s="2">
        <v>0</v>
      </c>
      <c r="D36" s="2">
        <v>0</v>
      </c>
      <c r="E36" s="3">
        <f>SUM(C36:D36)</f>
        <v>0</v>
      </c>
      <c r="F36" s="3">
        <f t="shared" si="0"/>
        <v>1663</v>
      </c>
    </row>
    <row r="37" spans="1:6" x14ac:dyDescent="0.3">
      <c r="A37" s="3">
        <v>28</v>
      </c>
      <c r="B37" s="3" t="s">
        <v>38</v>
      </c>
      <c r="C37" s="2">
        <v>0</v>
      </c>
      <c r="D37" s="2">
        <v>0</v>
      </c>
      <c r="E37" s="3">
        <f>SUM(C37:D37)</f>
        <v>0</v>
      </c>
      <c r="F37" s="3">
        <f t="shared" si="0"/>
        <v>1663</v>
      </c>
    </row>
    <row r="38" spans="1:6" x14ac:dyDescent="0.3">
      <c r="A38" s="3">
        <v>29</v>
      </c>
      <c r="B38" s="3" t="s">
        <v>39</v>
      </c>
      <c r="C38" s="2">
        <v>0</v>
      </c>
      <c r="D38" s="2">
        <v>0</v>
      </c>
      <c r="E38" s="3">
        <f>SUM(C38:D38)</f>
        <v>0</v>
      </c>
      <c r="F38" s="3">
        <f t="shared" si="0"/>
        <v>1663</v>
      </c>
    </row>
    <row r="39" spans="1:6" x14ac:dyDescent="0.3">
      <c r="A39" s="3">
        <v>30</v>
      </c>
      <c r="B39" s="3" t="s">
        <v>40</v>
      </c>
      <c r="C39" s="2">
        <v>0</v>
      </c>
      <c r="D39" s="2">
        <v>0</v>
      </c>
      <c r="E39" s="3">
        <f>SUM(C39:D39)</f>
        <v>0</v>
      </c>
      <c r="F39" s="3">
        <f t="shared" si="0"/>
        <v>1663</v>
      </c>
    </row>
    <row r="40" spans="1:6" x14ac:dyDescent="0.3">
      <c r="A40" s="3">
        <v>31</v>
      </c>
      <c r="B40" s="3" t="s">
        <v>41</v>
      </c>
      <c r="C40" s="2">
        <v>0</v>
      </c>
      <c r="D40" s="2">
        <v>0</v>
      </c>
      <c r="E40" s="3">
        <f>SUM(C40:D40)</f>
        <v>0</v>
      </c>
      <c r="F40" s="3">
        <f t="shared" si="0"/>
        <v>1663</v>
      </c>
    </row>
    <row r="41" spans="1:6" x14ac:dyDescent="0.3">
      <c r="A41" s="3">
        <v>32</v>
      </c>
      <c r="B41" s="3" t="s">
        <v>42</v>
      </c>
      <c r="C41" s="2">
        <v>0</v>
      </c>
      <c r="D41" s="2">
        <v>0</v>
      </c>
      <c r="E41" s="3">
        <f>SUM(C41:D41)</f>
        <v>0</v>
      </c>
      <c r="F41" s="3">
        <f t="shared" si="0"/>
        <v>1663</v>
      </c>
    </row>
    <row r="42" spans="1:6" x14ac:dyDescent="0.3">
      <c r="A42" s="3">
        <v>33</v>
      </c>
      <c r="B42" s="3" t="s">
        <v>43</v>
      </c>
      <c r="C42" s="2">
        <v>0</v>
      </c>
      <c r="D42" s="2">
        <v>0</v>
      </c>
      <c r="E42" s="3">
        <f>SUM(C42:D42)</f>
        <v>0</v>
      </c>
      <c r="F42" s="3">
        <f t="shared" si="0"/>
        <v>1663</v>
      </c>
    </row>
    <row r="43" spans="1:6" x14ac:dyDescent="0.3">
      <c r="A43" s="3">
        <v>34</v>
      </c>
      <c r="B43" s="3" t="s">
        <v>44</v>
      </c>
      <c r="C43" s="2">
        <v>0</v>
      </c>
      <c r="D43" s="2">
        <v>0</v>
      </c>
      <c r="E43" s="3">
        <f>SUM(C43:D43)</f>
        <v>0</v>
      </c>
      <c r="F43" s="3">
        <f t="shared" ref="F43:F74" si="1">E43+F42</f>
        <v>1663</v>
      </c>
    </row>
    <row r="44" spans="1:6" x14ac:dyDescent="0.3">
      <c r="A44" s="3">
        <v>35</v>
      </c>
      <c r="B44" s="3" t="s">
        <v>45</v>
      </c>
      <c r="C44" s="2">
        <v>0</v>
      </c>
      <c r="D44" s="2">
        <v>0</v>
      </c>
      <c r="E44" s="3">
        <f>SUM(C44:D44)</f>
        <v>0</v>
      </c>
      <c r="F44" s="3">
        <f t="shared" si="1"/>
        <v>1663</v>
      </c>
    </row>
    <row r="45" spans="1:6" x14ac:dyDescent="0.3">
      <c r="A45" s="3">
        <v>36</v>
      </c>
      <c r="B45" s="3" t="s">
        <v>46</v>
      </c>
      <c r="C45" s="2">
        <v>0</v>
      </c>
      <c r="D45" s="2">
        <v>0</v>
      </c>
      <c r="E45" s="3">
        <f>SUM(C45:D45)</f>
        <v>0</v>
      </c>
      <c r="F45" s="3">
        <f t="shared" si="1"/>
        <v>1663</v>
      </c>
    </row>
    <row r="46" spans="1:6" x14ac:dyDescent="0.3">
      <c r="A46" s="3">
        <v>37</v>
      </c>
      <c r="B46" s="3" t="s">
        <v>47</v>
      </c>
      <c r="C46" s="2">
        <v>0</v>
      </c>
      <c r="D46" s="2">
        <v>0</v>
      </c>
      <c r="E46" s="3">
        <f>SUM(C46:D46)</f>
        <v>0</v>
      </c>
      <c r="F46" s="3">
        <f t="shared" si="1"/>
        <v>1663</v>
      </c>
    </row>
    <row r="47" spans="1:6" x14ac:dyDescent="0.3">
      <c r="A47" s="3">
        <v>38</v>
      </c>
      <c r="B47" s="3" t="s">
        <v>48</v>
      </c>
      <c r="C47" s="2">
        <v>0</v>
      </c>
      <c r="D47" s="2">
        <v>0</v>
      </c>
      <c r="E47" s="3">
        <f>SUM(C47:D47)</f>
        <v>0</v>
      </c>
      <c r="F47" s="3">
        <f t="shared" si="1"/>
        <v>1663</v>
      </c>
    </row>
    <row r="48" spans="1:6" x14ac:dyDescent="0.3">
      <c r="A48" s="3">
        <v>39</v>
      </c>
      <c r="B48" s="3" t="s">
        <v>49</v>
      </c>
      <c r="C48" s="2">
        <v>0</v>
      </c>
      <c r="D48" s="2">
        <v>0</v>
      </c>
      <c r="E48" s="3">
        <f>SUM(C48:D48)</f>
        <v>0</v>
      </c>
      <c r="F48" s="3">
        <f t="shared" si="1"/>
        <v>1663</v>
      </c>
    </row>
    <row r="49" spans="1:6" x14ac:dyDescent="0.3">
      <c r="A49" s="3">
        <v>40</v>
      </c>
      <c r="B49" s="3" t="s">
        <v>50</v>
      </c>
      <c r="C49" s="2">
        <v>0</v>
      </c>
      <c r="D49" s="2">
        <v>0</v>
      </c>
      <c r="E49" s="3">
        <f>SUM(C49:D49)</f>
        <v>0</v>
      </c>
      <c r="F49" s="3">
        <f t="shared" si="1"/>
        <v>1663</v>
      </c>
    </row>
    <row r="50" spans="1:6" x14ac:dyDescent="0.3">
      <c r="A50" s="3">
        <v>41</v>
      </c>
      <c r="B50" s="3" t="s">
        <v>51</v>
      </c>
      <c r="C50" s="2">
        <v>0</v>
      </c>
      <c r="D50" s="2">
        <v>0</v>
      </c>
      <c r="E50" s="3">
        <f>SUM(C50:D50)</f>
        <v>0</v>
      </c>
      <c r="F50" s="3">
        <f t="shared" si="1"/>
        <v>1663</v>
      </c>
    </row>
    <row r="51" spans="1:6" x14ac:dyDescent="0.3">
      <c r="A51" s="3">
        <v>42</v>
      </c>
      <c r="B51" s="3" t="s">
        <v>52</v>
      </c>
      <c r="C51" s="2">
        <v>0</v>
      </c>
      <c r="D51" s="2">
        <v>0</v>
      </c>
      <c r="E51" s="3">
        <f>SUM(C51:D51)</f>
        <v>0</v>
      </c>
      <c r="F51" s="3">
        <f t="shared" si="1"/>
        <v>1663</v>
      </c>
    </row>
    <row r="52" spans="1:6" x14ac:dyDescent="0.3">
      <c r="A52" s="3">
        <v>43</v>
      </c>
      <c r="B52" s="3" t="s">
        <v>53</v>
      </c>
      <c r="C52" s="2">
        <v>0</v>
      </c>
      <c r="D52" s="2">
        <v>0</v>
      </c>
      <c r="E52" s="3">
        <f>SUM(C52:D52)</f>
        <v>0</v>
      </c>
      <c r="F52" s="3">
        <f t="shared" si="1"/>
        <v>1663</v>
      </c>
    </row>
    <row r="53" spans="1:6" x14ac:dyDescent="0.3">
      <c r="A53" s="3">
        <v>44</v>
      </c>
      <c r="B53" s="3" t="s">
        <v>54</v>
      </c>
      <c r="C53" s="2">
        <v>0</v>
      </c>
      <c r="D53" s="2">
        <v>0</v>
      </c>
      <c r="E53" s="3">
        <f>SUM(C53:D53)</f>
        <v>0</v>
      </c>
      <c r="F53" s="3">
        <f t="shared" si="1"/>
        <v>1663</v>
      </c>
    </row>
    <row r="54" spans="1:6" x14ac:dyDescent="0.3">
      <c r="A54" s="3">
        <v>45</v>
      </c>
      <c r="B54" s="3" t="s">
        <v>55</v>
      </c>
      <c r="C54" s="2">
        <v>0</v>
      </c>
      <c r="D54" s="2">
        <v>0</v>
      </c>
      <c r="E54" s="3">
        <f>SUM(C54:D54)</f>
        <v>0</v>
      </c>
      <c r="F54" s="3">
        <f t="shared" si="1"/>
        <v>1663</v>
      </c>
    </row>
    <row r="55" spans="1:6" x14ac:dyDescent="0.3">
      <c r="A55" s="3">
        <v>46</v>
      </c>
      <c r="B55" s="3" t="s">
        <v>56</v>
      </c>
      <c r="C55" s="2">
        <v>0</v>
      </c>
      <c r="D55" s="2">
        <v>0</v>
      </c>
      <c r="E55" s="3">
        <f>SUM(C55:D55)</f>
        <v>0</v>
      </c>
      <c r="F55" s="3">
        <f t="shared" si="1"/>
        <v>1663</v>
      </c>
    </row>
    <row r="56" spans="1:6" x14ac:dyDescent="0.3">
      <c r="A56" s="3">
        <v>47</v>
      </c>
      <c r="B56" s="3" t="s">
        <v>57</v>
      </c>
      <c r="C56" s="2">
        <v>0</v>
      </c>
      <c r="D56" s="2">
        <v>0</v>
      </c>
      <c r="E56" s="3">
        <f>SUM(C56:D56)</f>
        <v>0</v>
      </c>
      <c r="F56" s="3">
        <f t="shared" si="1"/>
        <v>1663</v>
      </c>
    </row>
    <row r="57" spans="1:6" x14ac:dyDescent="0.3">
      <c r="A57" s="3">
        <v>48</v>
      </c>
      <c r="B57" s="3" t="s">
        <v>58</v>
      </c>
      <c r="C57" s="2">
        <v>0</v>
      </c>
      <c r="D57" s="2">
        <v>0</v>
      </c>
      <c r="E57" s="3">
        <f>SUM(C57:D57)</f>
        <v>0</v>
      </c>
      <c r="F57" s="3">
        <f t="shared" si="1"/>
        <v>1663</v>
      </c>
    </row>
    <row r="58" spans="1:6" x14ac:dyDescent="0.3">
      <c r="A58" s="3">
        <v>49</v>
      </c>
      <c r="B58" s="3" t="s">
        <v>59</v>
      </c>
      <c r="C58" s="2">
        <v>0</v>
      </c>
      <c r="D58" s="2">
        <v>0</v>
      </c>
      <c r="E58" s="3">
        <f>SUM(C58:D58)</f>
        <v>0</v>
      </c>
      <c r="F58" s="3">
        <f t="shared" si="1"/>
        <v>1663</v>
      </c>
    </row>
    <row r="59" spans="1:6" x14ac:dyDescent="0.3">
      <c r="A59" s="3">
        <v>50</v>
      </c>
      <c r="B59" s="3" t="s">
        <v>60</v>
      </c>
      <c r="C59" s="2">
        <v>0</v>
      </c>
      <c r="D59" s="2">
        <v>0</v>
      </c>
      <c r="E59" s="3">
        <f>SUM(C59:D59)</f>
        <v>0</v>
      </c>
      <c r="F59" s="3">
        <f t="shared" si="1"/>
        <v>1663</v>
      </c>
    </row>
    <row r="60" spans="1:6" x14ac:dyDescent="0.3">
      <c r="A60" s="3">
        <v>51</v>
      </c>
      <c r="B60" s="3" t="s">
        <v>61</v>
      </c>
      <c r="C60" s="2">
        <v>0</v>
      </c>
      <c r="D60" s="2">
        <v>0</v>
      </c>
      <c r="E60" s="3">
        <f>SUM(C60:D60)</f>
        <v>0</v>
      </c>
      <c r="F60" s="3">
        <f t="shared" si="1"/>
        <v>1663</v>
      </c>
    </row>
    <row r="61" spans="1:6" x14ac:dyDescent="0.3">
      <c r="A61" s="3" t="s">
        <v>2</v>
      </c>
      <c r="B61" s="3" t="s">
        <v>62</v>
      </c>
      <c r="C61" s="3">
        <f>SUM(C10:C60)</f>
        <v>996</v>
      </c>
      <c r="D61" s="3">
        <f>SUM(D10:D60)</f>
        <v>667</v>
      </c>
      <c r="E61" s="3">
        <f>SUM(E10:E60)</f>
        <v>1663</v>
      </c>
      <c r="F61" s="3"/>
    </row>
  </sheetData>
  <mergeCells count="3">
    <mergeCell ref="A6:F6"/>
    <mergeCell ref="A7:F7"/>
    <mergeCell ref="A8:F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6:D61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4" width="28.88671875" customWidth="1"/>
  </cols>
  <sheetData>
    <row r="6" spans="1:4" ht="15.6" x14ac:dyDescent="0.3">
      <c r="A6" s="4" t="s">
        <v>83</v>
      </c>
      <c r="B6" s="5"/>
      <c r="C6" s="5"/>
      <c r="D6" s="6"/>
    </row>
    <row r="7" spans="1:4" ht="15.6" x14ac:dyDescent="0.3">
      <c r="A7" s="4" t="s">
        <v>84</v>
      </c>
      <c r="B7" s="5"/>
      <c r="C7" s="5"/>
      <c r="D7" s="6"/>
    </row>
    <row r="8" spans="1:4" x14ac:dyDescent="0.3">
      <c r="A8" s="7" t="s">
        <v>2</v>
      </c>
      <c r="B8" s="8"/>
      <c r="C8" s="8"/>
      <c r="D8" s="9"/>
    </row>
    <row r="9" spans="1:4" x14ac:dyDescent="0.3">
      <c r="A9" s="1"/>
      <c r="B9" s="1" t="s">
        <v>3</v>
      </c>
      <c r="C9" s="1" t="s">
        <v>96</v>
      </c>
      <c r="D9" s="1" t="s">
        <v>97</v>
      </c>
    </row>
    <row r="10" spans="1:4" x14ac:dyDescent="0.3">
      <c r="A10" s="3">
        <v>1</v>
      </c>
      <c r="B10" s="3" t="s">
        <v>11</v>
      </c>
      <c r="C10" s="3">
        <f>SUM(B10:B10)</f>
        <v>0</v>
      </c>
      <c r="D10" s="3">
        <f>C10</f>
        <v>0</v>
      </c>
    </row>
    <row r="11" spans="1:4" x14ac:dyDescent="0.3">
      <c r="A11" s="3">
        <v>2</v>
      </c>
      <c r="B11" s="3" t="s">
        <v>12</v>
      </c>
      <c r="C11" s="3">
        <f>SUM(B11:B11)</f>
        <v>0</v>
      </c>
      <c r="D11" s="3">
        <f t="shared" ref="D11:D42" si="0">C11+D10</f>
        <v>0</v>
      </c>
    </row>
    <row r="12" spans="1:4" x14ac:dyDescent="0.3">
      <c r="A12" s="3">
        <v>3</v>
      </c>
      <c r="B12" s="3" t="s">
        <v>13</v>
      </c>
      <c r="C12" s="3">
        <f>SUM(B12:B12)</f>
        <v>0</v>
      </c>
      <c r="D12" s="3">
        <f t="shared" si="0"/>
        <v>0</v>
      </c>
    </row>
    <row r="13" spans="1:4" x14ac:dyDescent="0.3">
      <c r="A13" s="3">
        <v>4</v>
      </c>
      <c r="B13" s="3" t="s">
        <v>14</v>
      </c>
      <c r="C13" s="3">
        <f>SUM(B13:B13)</f>
        <v>0</v>
      </c>
      <c r="D13" s="3">
        <f t="shared" si="0"/>
        <v>0</v>
      </c>
    </row>
    <row r="14" spans="1:4" x14ac:dyDescent="0.3">
      <c r="A14" s="3">
        <v>5</v>
      </c>
      <c r="B14" s="3" t="s">
        <v>15</v>
      </c>
      <c r="C14" s="3">
        <f>SUM(B14:B14)</f>
        <v>0</v>
      </c>
      <c r="D14" s="3">
        <f t="shared" si="0"/>
        <v>0</v>
      </c>
    </row>
    <row r="15" spans="1:4" x14ac:dyDescent="0.3">
      <c r="A15" s="3">
        <v>6</v>
      </c>
      <c r="B15" s="3" t="s">
        <v>16</v>
      </c>
      <c r="C15" s="3">
        <f>SUM(B15:B15)</f>
        <v>0</v>
      </c>
      <c r="D15" s="3">
        <f t="shared" si="0"/>
        <v>0</v>
      </c>
    </row>
    <row r="16" spans="1:4" x14ac:dyDescent="0.3">
      <c r="A16" s="3">
        <v>7</v>
      </c>
      <c r="B16" s="3" t="s">
        <v>17</v>
      </c>
      <c r="C16" s="3">
        <f>SUM(B16:B16)</f>
        <v>0</v>
      </c>
      <c r="D16" s="3">
        <f t="shared" si="0"/>
        <v>0</v>
      </c>
    </row>
    <row r="17" spans="1:4" x14ac:dyDescent="0.3">
      <c r="A17" s="3">
        <v>8</v>
      </c>
      <c r="B17" s="3" t="s">
        <v>18</v>
      </c>
      <c r="C17" s="3">
        <f>SUM(B17:B17)</f>
        <v>0</v>
      </c>
      <c r="D17" s="3">
        <f t="shared" si="0"/>
        <v>0</v>
      </c>
    </row>
    <row r="18" spans="1:4" x14ac:dyDescent="0.3">
      <c r="A18" s="3">
        <v>9</v>
      </c>
      <c r="B18" s="3" t="s">
        <v>19</v>
      </c>
      <c r="C18" s="3">
        <f>SUM(B18:B18)</f>
        <v>0</v>
      </c>
      <c r="D18" s="3">
        <f t="shared" si="0"/>
        <v>0</v>
      </c>
    </row>
    <row r="19" spans="1:4" x14ac:dyDescent="0.3">
      <c r="A19" s="3">
        <v>10</v>
      </c>
      <c r="B19" s="3" t="s">
        <v>20</v>
      </c>
      <c r="C19" s="3">
        <f>SUM(B19:B19)</f>
        <v>0</v>
      </c>
      <c r="D19" s="3">
        <f t="shared" si="0"/>
        <v>0</v>
      </c>
    </row>
    <row r="20" spans="1:4" x14ac:dyDescent="0.3">
      <c r="A20" s="3">
        <v>11</v>
      </c>
      <c r="B20" s="3" t="s">
        <v>21</v>
      </c>
      <c r="C20" s="3">
        <f>SUM(B20:B20)</f>
        <v>0</v>
      </c>
      <c r="D20" s="3">
        <f t="shared" si="0"/>
        <v>0</v>
      </c>
    </row>
    <row r="21" spans="1:4" x14ac:dyDescent="0.3">
      <c r="A21" s="3">
        <v>12</v>
      </c>
      <c r="B21" s="3" t="s">
        <v>22</v>
      </c>
      <c r="C21" s="3">
        <f>SUM(B21:B21)</f>
        <v>0</v>
      </c>
      <c r="D21" s="3">
        <f t="shared" si="0"/>
        <v>0</v>
      </c>
    </row>
    <row r="22" spans="1:4" x14ac:dyDescent="0.3">
      <c r="A22" s="3">
        <v>13</v>
      </c>
      <c r="B22" s="3" t="s">
        <v>23</v>
      </c>
      <c r="C22" s="3">
        <f>SUM(B22:B22)</f>
        <v>0</v>
      </c>
      <c r="D22" s="3">
        <f t="shared" si="0"/>
        <v>0</v>
      </c>
    </row>
    <row r="23" spans="1:4" x14ac:dyDescent="0.3">
      <c r="A23" s="3">
        <v>14</v>
      </c>
      <c r="B23" s="3" t="s">
        <v>24</v>
      </c>
      <c r="C23" s="3">
        <f>SUM(B23:B23)</f>
        <v>0</v>
      </c>
      <c r="D23" s="3">
        <f t="shared" si="0"/>
        <v>0</v>
      </c>
    </row>
    <row r="24" spans="1:4" x14ac:dyDescent="0.3">
      <c r="A24" s="3">
        <v>15</v>
      </c>
      <c r="B24" s="3" t="s">
        <v>25</v>
      </c>
      <c r="C24" s="3">
        <f>SUM(B24:B24)</f>
        <v>0</v>
      </c>
      <c r="D24" s="3">
        <f t="shared" si="0"/>
        <v>0</v>
      </c>
    </row>
    <row r="25" spans="1:4" x14ac:dyDescent="0.3">
      <c r="A25" s="3">
        <v>16</v>
      </c>
      <c r="B25" s="3" t="s">
        <v>26</v>
      </c>
      <c r="C25" s="3">
        <f>SUM(B25:B25)</f>
        <v>0</v>
      </c>
      <c r="D25" s="3">
        <f t="shared" si="0"/>
        <v>0</v>
      </c>
    </row>
    <row r="26" spans="1:4" x14ac:dyDescent="0.3">
      <c r="A26" s="3">
        <v>17</v>
      </c>
      <c r="B26" s="3" t="s">
        <v>27</v>
      </c>
      <c r="C26" s="3">
        <f>SUM(B26:B26)</f>
        <v>0</v>
      </c>
      <c r="D26" s="3">
        <f t="shared" si="0"/>
        <v>0</v>
      </c>
    </row>
    <row r="27" spans="1:4" x14ac:dyDescent="0.3">
      <c r="A27" s="3">
        <v>18</v>
      </c>
      <c r="B27" s="3" t="s">
        <v>28</v>
      </c>
      <c r="C27" s="3">
        <f>SUM(B27:B27)</f>
        <v>0</v>
      </c>
      <c r="D27" s="3">
        <f t="shared" si="0"/>
        <v>0</v>
      </c>
    </row>
    <row r="28" spans="1:4" x14ac:dyDescent="0.3">
      <c r="A28" s="3">
        <v>19</v>
      </c>
      <c r="B28" s="3" t="s">
        <v>29</v>
      </c>
      <c r="C28" s="3">
        <f>SUM(B28:B28)</f>
        <v>0</v>
      </c>
      <c r="D28" s="3">
        <f t="shared" si="0"/>
        <v>0</v>
      </c>
    </row>
    <row r="29" spans="1:4" x14ac:dyDescent="0.3">
      <c r="A29" s="3">
        <v>20</v>
      </c>
      <c r="B29" s="3" t="s">
        <v>30</v>
      </c>
      <c r="C29" s="3">
        <f>SUM(B29:B29)</f>
        <v>0</v>
      </c>
      <c r="D29" s="3">
        <f t="shared" si="0"/>
        <v>0</v>
      </c>
    </row>
    <row r="30" spans="1:4" x14ac:dyDescent="0.3">
      <c r="A30" s="3">
        <v>21</v>
      </c>
      <c r="B30" s="3" t="s">
        <v>31</v>
      </c>
      <c r="C30" s="3">
        <f>SUM(B30:B30)</f>
        <v>0</v>
      </c>
      <c r="D30" s="3">
        <f t="shared" si="0"/>
        <v>0</v>
      </c>
    </row>
    <row r="31" spans="1:4" x14ac:dyDescent="0.3">
      <c r="A31" s="3">
        <v>22</v>
      </c>
      <c r="B31" s="3" t="s">
        <v>32</v>
      </c>
      <c r="C31" s="3">
        <f>SUM(B31:B31)</f>
        <v>0</v>
      </c>
      <c r="D31" s="3">
        <f t="shared" si="0"/>
        <v>0</v>
      </c>
    </row>
    <row r="32" spans="1:4" x14ac:dyDescent="0.3">
      <c r="A32" s="3">
        <v>23</v>
      </c>
      <c r="B32" s="3" t="s">
        <v>33</v>
      </c>
      <c r="C32" s="3">
        <f>SUM(B32:B32)</f>
        <v>0</v>
      </c>
      <c r="D32" s="3">
        <f t="shared" si="0"/>
        <v>0</v>
      </c>
    </row>
    <row r="33" spans="1:4" x14ac:dyDescent="0.3">
      <c r="A33" s="3">
        <v>24</v>
      </c>
      <c r="B33" s="3" t="s">
        <v>34</v>
      </c>
      <c r="C33" s="3">
        <f>SUM(B33:B33)</f>
        <v>0</v>
      </c>
      <c r="D33" s="3">
        <f t="shared" si="0"/>
        <v>0</v>
      </c>
    </row>
    <row r="34" spans="1:4" x14ac:dyDescent="0.3">
      <c r="A34" s="3">
        <v>25</v>
      </c>
      <c r="B34" s="3" t="s">
        <v>35</v>
      </c>
      <c r="C34" s="3">
        <f>SUM(B34:B34)</f>
        <v>0</v>
      </c>
      <c r="D34" s="3">
        <f t="shared" si="0"/>
        <v>0</v>
      </c>
    </row>
    <row r="35" spans="1:4" x14ac:dyDescent="0.3">
      <c r="A35" s="3">
        <v>26</v>
      </c>
      <c r="B35" s="3" t="s">
        <v>36</v>
      </c>
      <c r="C35" s="3">
        <f>SUM(B35:B35)</f>
        <v>0</v>
      </c>
      <c r="D35" s="3">
        <f t="shared" si="0"/>
        <v>0</v>
      </c>
    </row>
    <row r="36" spans="1:4" x14ac:dyDescent="0.3">
      <c r="A36" s="3">
        <v>27</v>
      </c>
      <c r="B36" s="3" t="s">
        <v>37</v>
      </c>
      <c r="C36" s="3">
        <f>SUM(B36:B36)</f>
        <v>0</v>
      </c>
      <c r="D36" s="3">
        <f t="shared" si="0"/>
        <v>0</v>
      </c>
    </row>
    <row r="37" spans="1:4" x14ac:dyDescent="0.3">
      <c r="A37" s="3">
        <v>28</v>
      </c>
      <c r="B37" s="3" t="s">
        <v>38</v>
      </c>
      <c r="C37" s="3">
        <f>SUM(B37:B37)</f>
        <v>0</v>
      </c>
      <c r="D37" s="3">
        <f t="shared" si="0"/>
        <v>0</v>
      </c>
    </row>
    <row r="38" spans="1:4" x14ac:dyDescent="0.3">
      <c r="A38" s="3">
        <v>29</v>
      </c>
      <c r="B38" s="3" t="s">
        <v>39</v>
      </c>
      <c r="C38" s="3">
        <f>SUM(B38:B38)</f>
        <v>0</v>
      </c>
      <c r="D38" s="3">
        <f t="shared" si="0"/>
        <v>0</v>
      </c>
    </row>
    <row r="39" spans="1:4" x14ac:dyDescent="0.3">
      <c r="A39" s="3">
        <v>30</v>
      </c>
      <c r="B39" s="3" t="s">
        <v>40</v>
      </c>
      <c r="C39" s="3">
        <f>SUM(B39:B39)</f>
        <v>0</v>
      </c>
      <c r="D39" s="3">
        <f t="shared" si="0"/>
        <v>0</v>
      </c>
    </row>
    <row r="40" spans="1:4" x14ac:dyDescent="0.3">
      <c r="A40" s="3">
        <v>31</v>
      </c>
      <c r="B40" s="3" t="s">
        <v>41</v>
      </c>
      <c r="C40" s="3">
        <f>SUM(B40:B40)</f>
        <v>0</v>
      </c>
      <c r="D40" s="3">
        <f t="shared" si="0"/>
        <v>0</v>
      </c>
    </row>
    <row r="41" spans="1:4" x14ac:dyDescent="0.3">
      <c r="A41" s="3">
        <v>32</v>
      </c>
      <c r="B41" s="3" t="s">
        <v>42</v>
      </c>
      <c r="C41" s="3">
        <f>SUM(B41:B41)</f>
        <v>0</v>
      </c>
      <c r="D41" s="3">
        <f t="shared" si="0"/>
        <v>0</v>
      </c>
    </row>
    <row r="42" spans="1:4" x14ac:dyDescent="0.3">
      <c r="A42" s="3">
        <v>33</v>
      </c>
      <c r="B42" s="3" t="s">
        <v>43</v>
      </c>
      <c r="C42" s="3">
        <f>SUM(B42:B42)</f>
        <v>0</v>
      </c>
      <c r="D42" s="3">
        <f t="shared" si="0"/>
        <v>0</v>
      </c>
    </row>
    <row r="43" spans="1:4" x14ac:dyDescent="0.3">
      <c r="A43" s="3">
        <v>34</v>
      </c>
      <c r="B43" s="3" t="s">
        <v>44</v>
      </c>
      <c r="C43" s="3">
        <f>SUM(B43:B43)</f>
        <v>0</v>
      </c>
      <c r="D43" s="3">
        <f t="shared" ref="D43:D74" si="1">C43+D42</f>
        <v>0</v>
      </c>
    </row>
    <row r="44" spans="1:4" x14ac:dyDescent="0.3">
      <c r="A44" s="3">
        <v>35</v>
      </c>
      <c r="B44" s="3" t="s">
        <v>45</v>
      </c>
      <c r="C44" s="3">
        <f>SUM(B44:B44)</f>
        <v>0</v>
      </c>
      <c r="D44" s="3">
        <f t="shared" si="1"/>
        <v>0</v>
      </c>
    </row>
    <row r="45" spans="1:4" x14ac:dyDescent="0.3">
      <c r="A45" s="3">
        <v>36</v>
      </c>
      <c r="B45" s="3" t="s">
        <v>46</v>
      </c>
      <c r="C45" s="3">
        <f>SUM(B45:B45)</f>
        <v>0</v>
      </c>
      <c r="D45" s="3">
        <f t="shared" si="1"/>
        <v>0</v>
      </c>
    </row>
    <row r="46" spans="1:4" x14ac:dyDescent="0.3">
      <c r="A46" s="3">
        <v>37</v>
      </c>
      <c r="B46" s="3" t="s">
        <v>47</v>
      </c>
      <c r="C46" s="3">
        <f>SUM(B46:B46)</f>
        <v>0</v>
      </c>
      <c r="D46" s="3">
        <f t="shared" si="1"/>
        <v>0</v>
      </c>
    </row>
    <row r="47" spans="1:4" x14ac:dyDescent="0.3">
      <c r="A47" s="3">
        <v>38</v>
      </c>
      <c r="B47" s="3" t="s">
        <v>48</v>
      </c>
      <c r="C47" s="3">
        <f>SUM(B47:B47)</f>
        <v>0</v>
      </c>
      <c r="D47" s="3">
        <f t="shared" si="1"/>
        <v>0</v>
      </c>
    </row>
    <row r="48" spans="1:4" x14ac:dyDescent="0.3">
      <c r="A48" s="3">
        <v>39</v>
      </c>
      <c r="B48" s="3" t="s">
        <v>49</v>
      </c>
      <c r="C48" s="3">
        <f>SUM(B48:B48)</f>
        <v>0</v>
      </c>
      <c r="D48" s="3">
        <f t="shared" si="1"/>
        <v>0</v>
      </c>
    </row>
    <row r="49" spans="1:4" x14ac:dyDescent="0.3">
      <c r="A49" s="3">
        <v>40</v>
      </c>
      <c r="B49" s="3" t="s">
        <v>50</v>
      </c>
      <c r="C49" s="3">
        <f>SUM(B49:B49)</f>
        <v>0</v>
      </c>
      <c r="D49" s="3">
        <f t="shared" si="1"/>
        <v>0</v>
      </c>
    </row>
    <row r="50" spans="1:4" x14ac:dyDescent="0.3">
      <c r="A50" s="3">
        <v>41</v>
      </c>
      <c r="B50" s="3" t="s">
        <v>51</v>
      </c>
      <c r="C50" s="3">
        <f>SUM(B50:B50)</f>
        <v>0</v>
      </c>
      <c r="D50" s="3">
        <f t="shared" si="1"/>
        <v>0</v>
      </c>
    </row>
    <row r="51" spans="1:4" x14ac:dyDescent="0.3">
      <c r="A51" s="3">
        <v>42</v>
      </c>
      <c r="B51" s="3" t="s">
        <v>52</v>
      </c>
      <c r="C51" s="3">
        <f>SUM(B51:B51)</f>
        <v>0</v>
      </c>
      <c r="D51" s="3">
        <f t="shared" si="1"/>
        <v>0</v>
      </c>
    </row>
    <row r="52" spans="1:4" x14ac:dyDescent="0.3">
      <c r="A52" s="3">
        <v>43</v>
      </c>
      <c r="B52" s="3" t="s">
        <v>53</v>
      </c>
      <c r="C52" s="3">
        <f>SUM(B52:B52)</f>
        <v>0</v>
      </c>
      <c r="D52" s="3">
        <f t="shared" si="1"/>
        <v>0</v>
      </c>
    </row>
    <row r="53" spans="1:4" x14ac:dyDescent="0.3">
      <c r="A53" s="3">
        <v>44</v>
      </c>
      <c r="B53" s="3" t="s">
        <v>54</v>
      </c>
      <c r="C53" s="3">
        <f>SUM(B53:B53)</f>
        <v>0</v>
      </c>
      <c r="D53" s="3">
        <f t="shared" si="1"/>
        <v>0</v>
      </c>
    </row>
    <row r="54" spans="1:4" x14ac:dyDescent="0.3">
      <c r="A54" s="3">
        <v>45</v>
      </c>
      <c r="B54" s="3" t="s">
        <v>55</v>
      </c>
      <c r="C54" s="3">
        <f>SUM(B54:B54)</f>
        <v>0</v>
      </c>
      <c r="D54" s="3">
        <f t="shared" si="1"/>
        <v>0</v>
      </c>
    </row>
    <row r="55" spans="1:4" x14ac:dyDescent="0.3">
      <c r="A55" s="3">
        <v>46</v>
      </c>
      <c r="B55" s="3" t="s">
        <v>56</v>
      </c>
      <c r="C55" s="3">
        <f>SUM(B55:B55)</f>
        <v>0</v>
      </c>
      <c r="D55" s="3">
        <f t="shared" si="1"/>
        <v>0</v>
      </c>
    </row>
    <row r="56" spans="1:4" x14ac:dyDescent="0.3">
      <c r="A56" s="3">
        <v>47</v>
      </c>
      <c r="B56" s="3" t="s">
        <v>57</v>
      </c>
      <c r="C56" s="3">
        <f>SUM(B56:B56)</f>
        <v>0</v>
      </c>
      <c r="D56" s="3">
        <f t="shared" si="1"/>
        <v>0</v>
      </c>
    </row>
    <row r="57" spans="1:4" x14ac:dyDescent="0.3">
      <c r="A57" s="3">
        <v>48</v>
      </c>
      <c r="B57" s="3" t="s">
        <v>58</v>
      </c>
      <c r="C57" s="3">
        <f>SUM(B57:B57)</f>
        <v>0</v>
      </c>
      <c r="D57" s="3">
        <f t="shared" si="1"/>
        <v>0</v>
      </c>
    </row>
    <row r="58" spans="1:4" x14ac:dyDescent="0.3">
      <c r="A58" s="3">
        <v>49</v>
      </c>
      <c r="B58" s="3" t="s">
        <v>59</v>
      </c>
      <c r="C58" s="3">
        <f>SUM(B58:B58)</f>
        <v>0</v>
      </c>
      <c r="D58" s="3">
        <f t="shared" si="1"/>
        <v>0</v>
      </c>
    </row>
    <row r="59" spans="1:4" x14ac:dyDescent="0.3">
      <c r="A59" s="3">
        <v>50</v>
      </c>
      <c r="B59" s="3" t="s">
        <v>60</v>
      </c>
      <c r="C59" s="3">
        <f>SUM(B59:B59)</f>
        <v>0</v>
      </c>
      <c r="D59" s="3">
        <f t="shared" si="1"/>
        <v>0</v>
      </c>
    </row>
    <row r="60" spans="1:4" x14ac:dyDescent="0.3">
      <c r="A60" s="3">
        <v>51</v>
      </c>
      <c r="B60" s="3" t="s">
        <v>61</v>
      </c>
      <c r="C60" s="3">
        <f>SUM(B60:B60)</f>
        <v>0</v>
      </c>
      <c r="D60" s="3">
        <f t="shared" si="1"/>
        <v>0</v>
      </c>
    </row>
    <row r="61" spans="1:4" x14ac:dyDescent="0.3">
      <c r="A61" s="3" t="s">
        <v>2</v>
      </c>
      <c r="B61" s="3" t="s">
        <v>62</v>
      </c>
      <c r="C61" s="3">
        <f>SUM(C10:C60)</f>
        <v>0</v>
      </c>
      <c r="D61" s="3"/>
    </row>
  </sheetData>
  <mergeCells count="3">
    <mergeCell ref="A6:D6"/>
    <mergeCell ref="A7:D7"/>
    <mergeCell ref="A8:D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6:G64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3.44140625" customWidth="1"/>
    <col min="6" max="6" width="17.33203125" bestFit="1" customWidth="1"/>
    <col min="7" max="7" width="22.77734375" bestFit="1" customWidth="1"/>
  </cols>
  <sheetData>
    <row r="6" spans="1:7" ht="15.6" x14ac:dyDescent="0.3">
      <c r="A6" s="4" t="s">
        <v>85</v>
      </c>
      <c r="B6" s="5"/>
      <c r="C6" s="5"/>
      <c r="D6" s="5"/>
      <c r="E6" s="5"/>
      <c r="F6" s="5"/>
      <c r="G6" s="6"/>
    </row>
    <row r="7" spans="1:7" ht="15.6" x14ac:dyDescent="0.3">
      <c r="A7" s="4" t="s">
        <v>86</v>
      </c>
      <c r="B7" s="5"/>
      <c r="C7" s="5"/>
      <c r="D7" s="5"/>
      <c r="E7" s="5"/>
      <c r="F7" s="5"/>
      <c r="G7" s="6"/>
    </row>
    <row r="8" spans="1:7" x14ac:dyDescent="0.3">
      <c r="A8" s="7" t="s">
        <v>2</v>
      </c>
      <c r="B8" s="8"/>
      <c r="C8" s="8"/>
      <c r="D8" s="8"/>
      <c r="E8" s="8"/>
      <c r="F8" s="8"/>
      <c r="G8" s="9"/>
    </row>
    <row r="9" spans="1:7" x14ac:dyDescent="0.3">
      <c r="A9" s="1"/>
      <c r="B9" s="1" t="s">
        <v>3</v>
      </c>
      <c r="C9" s="1" t="s">
        <v>87</v>
      </c>
      <c r="D9" s="1" t="s">
        <v>88</v>
      </c>
      <c r="E9" s="1" t="s">
        <v>89</v>
      </c>
      <c r="F9" s="1" t="s">
        <v>98</v>
      </c>
      <c r="G9" s="1" t="s">
        <v>99</v>
      </c>
    </row>
    <row r="10" spans="1:7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3">
        <f t="shared" ref="F10:F41" si="0">SUM(C10:E10)</f>
        <v>0</v>
      </c>
      <c r="G10" s="3">
        <f>F10</f>
        <v>0</v>
      </c>
    </row>
    <row r="11" spans="1:7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3">
        <f t="shared" si="0"/>
        <v>0</v>
      </c>
      <c r="G11" s="3">
        <f t="shared" ref="G11:G42" si="1">F11+G10</f>
        <v>0</v>
      </c>
    </row>
    <row r="12" spans="1:7" x14ac:dyDescent="0.3">
      <c r="A12" s="3">
        <v>3</v>
      </c>
      <c r="B12" s="3" t="s">
        <v>13</v>
      </c>
      <c r="C12" s="2">
        <v>0</v>
      </c>
      <c r="D12" s="2">
        <v>0</v>
      </c>
      <c r="E12" s="2">
        <v>0</v>
      </c>
      <c r="F12" s="3">
        <f t="shared" si="0"/>
        <v>0</v>
      </c>
      <c r="G12" s="3">
        <f t="shared" si="1"/>
        <v>0</v>
      </c>
    </row>
    <row r="13" spans="1:7" x14ac:dyDescent="0.3">
      <c r="A13" s="3">
        <v>4</v>
      </c>
      <c r="B13" s="3" t="s">
        <v>14</v>
      </c>
      <c r="C13" s="2">
        <v>0</v>
      </c>
      <c r="D13" s="2">
        <v>0</v>
      </c>
      <c r="E13" s="2">
        <v>0</v>
      </c>
      <c r="F13" s="3">
        <f t="shared" si="0"/>
        <v>0</v>
      </c>
      <c r="G13" s="3">
        <f t="shared" si="1"/>
        <v>0</v>
      </c>
    </row>
    <row r="14" spans="1:7" x14ac:dyDescent="0.3">
      <c r="A14" s="3">
        <v>5</v>
      </c>
      <c r="B14" s="3" t="s">
        <v>15</v>
      </c>
      <c r="C14" s="2">
        <v>0</v>
      </c>
      <c r="D14" s="2">
        <v>0</v>
      </c>
      <c r="E14" s="2">
        <v>0</v>
      </c>
      <c r="F14" s="3">
        <f t="shared" si="0"/>
        <v>0</v>
      </c>
      <c r="G14" s="3">
        <f t="shared" si="1"/>
        <v>0</v>
      </c>
    </row>
    <row r="15" spans="1:7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3">
        <f t="shared" si="0"/>
        <v>0</v>
      </c>
      <c r="G15" s="3">
        <f t="shared" si="1"/>
        <v>0</v>
      </c>
    </row>
    <row r="16" spans="1:7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3">
        <f t="shared" si="0"/>
        <v>0</v>
      </c>
      <c r="G16" s="3">
        <f t="shared" si="1"/>
        <v>0</v>
      </c>
    </row>
    <row r="17" spans="1:7" x14ac:dyDescent="0.3">
      <c r="A17" s="3">
        <v>8</v>
      </c>
      <c r="B17" s="3" t="s">
        <v>18</v>
      </c>
      <c r="C17" s="2">
        <v>0</v>
      </c>
      <c r="D17" s="2">
        <v>0</v>
      </c>
      <c r="E17" s="2">
        <v>0</v>
      </c>
      <c r="F17" s="3">
        <f t="shared" si="0"/>
        <v>0</v>
      </c>
      <c r="G17" s="3">
        <f t="shared" si="1"/>
        <v>0</v>
      </c>
    </row>
    <row r="18" spans="1:7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3">
        <f t="shared" si="0"/>
        <v>0</v>
      </c>
      <c r="G18" s="3">
        <f t="shared" si="1"/>
        <v>0</v>
      </c>
    </row>
    <row r="19" spans="1:7" x14ac:dyDescent="0.3">
      <c r="A19" s="3">
        <v>10</v>
      </c>
      <c r="B19" s="3" t="s">
        <v>20</v>
      </c>
      <c r="C19" s="2">
        <v>0</v>
      </c>
      <c r="D19" s="2">
        <v>0</v>
      </c>
      <c r="E19" s="2">
        <v>0</v>
      </c>
      <c r="F19" s="3">
        <f t="shared" si="0"/>
        <v>0</v>
      </c>
      <c r="G19" s="3">
        <f t="shared" si="1"/>
        <v>0</v>
      </c>
    </row>
    <row r="20" spans="1:7" x14ac:dyDescent="0.3">
      <c r="A20" s="3">
        <v>11</v>
      </c>
      <c r="B20" s="3" t="s">
        <v>21</v>
      </c>
      <c r="C20" s="2">
        <v>0</v>
      </c>
      <c r="D20" s="2">
        <v>0</v>
      </c>
      <c r="E20" s="2">
        <v>0</v>
      </c>
      <c r="F20" s="3">
        <f t="shared" si="0"/>
        <v>0</v>
      </c>
      <c r="G20" s="3">
        <f t="shared" si="1"/>
        <v>0</v>
      </c>
    </row>
    <row r="21" spans="1:7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3">
        <f t="shared" si="0"/>
        <v>0</v>
      </c>
      <c r="G21" s="3">
        <f t="shared" si="1"/>
        <v>0</v>
      </c>
    </row>
    <row r="22" spans="1:7" x14ac:dyDescent="0.3">
      <c r="A22" s="3">
        <v>13</v>
      </c>
      <c r="B22" s="3" t="s">
        <v>23</v>
      </c>
      <c r="C22" s="2">
        <v>0</v>
      </c>
      <c r="D22" s="2">
        <v>0</v>
      </c>
      <c r="E22" s="2">
        <v>0</v>
      </c>
      <c r="F22" s="3">
        <f t="shared" si="0"/>
        <v>0</v>
      </c>
      <c r="G22" s="3">
        <f t="shared" si="1"/>
        <v>0</v>
      </c>
    </row>
    <row r="23" spans="1:7" x14ac:dyDescent="0.3">
      <c r="A23" s="3">
        <v>14</v>
      </c>
      <c r="B23" s="3" t="s">
        <v>24</v>
      </c>
      <c r="C23" s="2">
        <v>0</v>
      </c>
      <c r="D23" s="2">
        <v>0</v>
      </c>
      <c r="E23" s="2">
        <v>0</v>
      </c>
      <c r="F23" s="3">
        <f t="shared" si="0"/>
        <v>0</v>
      </c>
      <c r="G23" s="3">
        <f t="shared" si="1"/>
        <v>0</v>
      </c>
    </row>
    <row r="24" spans="1:7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3">
        <f t="shared" si="0"/>
        <v>0</v>
      </c>
      <c r="G24" s="3">
        <f t="shared" si="1"/>
        <v>0</v>
      </c>
    </row>
    <row r="25" spans="1:7" x14ac:dyDescent="0.3">
      <c r="A25" s="3">
        <v>16</v>
      </c>
      <c r="B25" s="3" t="s">
        <v>26</v>
      </c>
      <c r="C25" s="2">
        <v>0</v>
      </c>
      <c r="D25" s="2">
        <v>0</v>
      </c>
      <c r="E25" s="2">
        <v>0</v>
      </c>
      <c r="F25" s="3">
        <f t="shared" si="0"/>
        <v>0</v>
      </c>
      <c r="G25" s="3">
        <f t="shared" si="1"/>
        <v>0</v>
      </c>
    </row>
    <row r="26" spans="1:7" x14ac:dyDescent="0.3">
      <c r="A26" s="3">
        <v>17</v>
      </c>
      <c r="B26" s="3" t="s">
        <v>27</v>
      </c>
      <c r="C26" s="2">
        <v>0</v>
      </c>
      <c r="D26" s="2">
        <v>0</v>
      </c>
      <c r="E26" s="2">
        <v>0</v>
      </c>
      <c r="F26" s="3">
        <f t="shared" si="0"/>
        <v>0</v>
      </c>
      <c r="G26" s="3">
        <f t="shared" si="1"/>
        <v>0</v>
      </c>
    </row>
    <row r="27" spans="1:7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3">
        <f t="shared" si="0"/>
        <v>0</v>
      </c>
      <c r="G27" s="3">
        <f t="shared" si="1"/>
        <v>0</v>
      </c>
    </row>
    <row r="28" spans="1:7" x14ac:dyDescent="0.3">
      <c r="A28" s="3">
        <v>19</v>
      </c>
      <c r="B28" s="3" t="s">
        <v>29</v>
      </c>
      <c r="C28" s="2">
        <v>0</v>
      </c>
      <c r="D28" s="2">
        <v>0</v>
      </c>
      <c r="E28" s="2">
        <v>0</v>
      </c>
      <c r="F28" s="3">
        <f t="shared" si="0"/>
        <v>0</v>
      </c>
      <c r="G28" s="3">
        <f t="shared" si="1"/>
        <v>0</v>
      </c>
    </row>
    <row r="29" spans="1:7" x14ac:dyDescent="0.3">
      <c r="A29" s="3">
        <v>20</v>
      </c>
      <c r="B29" s="3" t="s">
        <v>30</v>
      </c>
      <c r="C29" s="2">
        <v>0</v>
      </c>
      <c r="D29" s="2">
        <v>0</v>
      </c>
      <c r="E29" s="2">
        <v>0</v>
      </c>
      <c r="F29" s="3">
        <f t="shared" si="0"/>
        <v>0</v>
      </c>
      <c r="G29" s="3">
        <f t="shared" si="1"/>
        <v>0</v>
      </c>
    </row>
    <row r="30" spans="1:7" x14ac:dyDescent="0.3">
      <c r="A30" s="3">
        <v>21</v>
      </c>
      <c r="B30" s="3" t="s">
        <v>31</v>
      </c>
      <c r="C30" s="2">
        <v>0</v>
      </c>
      <c r="D30" s="2">
        <v>0</v>
      </c>
      <c r="E30" s="2">
        <v>0</v>
      </c>
      <c r="F30" s="3">
        <f t="shared" si="0"/>
        <v>0</v>
      </c>
      <c r="G30" s="3">
        <f t="shared" si="1"/>
        <v>0</v>
      </c>
    </row>
    <row r="31" spans="1:7" x14ac:dyDescent="0.3">
      <c r="A31" s="3">
        <v>22</v>
      </c>
      <c r="B31" s="3" t="s">
        <v>32</v>
      </c>
      <c r="C31" s="2">
        <v>0</v>
      </c>
      <c r="D31" s="2">
        <v>0</v>
      </c>
      <c r="E31" s="2">
        <v>0</v>
      </c>
      <c r="F31" s="3">
        <f t="shared" si="0"/>
        <v>0</v>
      </c>
      <c r="G31" s="3">
        <f t="shared" si="1"/>
        <v>0</v>
      </c>
    </row>
    <row r="32" spans="1:7" x14ac:dyDescent="0.3">
      <c r="A32" s="3">
        <v>23</v>
      </c>
      <c r="B32" s="3" t="s">
        <v>33</v>
      </c>
      <c r="C32" s="2">
        <v>0</v>
      </c>
      <c r="D32" s="2">
        <v>0</v>
      </c>
      <c r="E32" s="2">
        <v>0</v>
      </c>
      <c r="F32" s="3">
        <f t="shared" si="0"/>
        <v>0</v>
      </c>
      <c r="G32" s="3">
        <f t="shared" si="1"/>
        <v>0</v>
      </c>
    </row>
    <row r="33" spans="1:7" x14ac:dyDescent="0.3">
      <c r="A33" s="3">
        <v>24</v>
      </c>
      <c r="B33" s="3" t="s">
        <v>34</v>
      </c>
      <c r="C33" s="2">
        <v>0</v>
      </c>
      <c r="D33" s="2">
        <v>0</v>
      </c>
      <c r="E33" s="2">
        <v>0</v>
      </c>
      <c r="F33" s="3">
        <f t="shared" si="0"/>
        <v>0</v>
      </c>
      <c r="G33" s="3">
        <f t="shared" si="1"/>
        <v>0</v>
      </c>
    </row>
    <row r="34" spans="1:7" x14ac:dyDescent="0.3">
      <c r="A34" s="3">
        <v>25</v>
      </c>
      <c r="B34" s="3" t="s">
        <v>35</v>
      </c>
      <c r="C34" s="2">
        <v>0</v>
      </c>
      <c r="D34" s="2">
        <v>0</v>
      </c>
      <c r="E34" s="2">
        <v>0</v>
      </c>
      <c r="F34" s="3">
        <f t="shared" si="0"/>
        <v>0</v>
      </c>
      <c r="G34" s="3">
        <f t="shared" si="1"/>
        <v>0</v>
      </c>
    </row>
    <row r="35" spans="1:7" x14ac:dyDescent="0.3">
      <c r="A35" s="3">
        <v>26</v>
      </c>
      <c r="B35" s="3" t="s">
        <v>36</v>
      </c>
      <c r="C35" s="2">
        <v>0</v>
      </c>
      <c r="D35" s="2">
        <v>0</v>
      </c>
      <c r="E35" s="2">
        <v>0</v>
      </c>
      <c r="F35" s="3">
        <f t="shared" si="0"/>
        <v>0</v>
      </c>
      <c r="G35" s="3">
        <f t="shared" si="1"/>
        <v>0</v>
      </c>
    </row>
    <row r="36" spans="1:7" x14ac:dyDescent="0.3">
      <c r="A36" s="3">
        <v>27</v>
      </c>
      <c r="B36" s="3" t="s">
        <v>37</v>
      </c>
      <c r="C36" s="2">
        <v>0</v>
      </c>
      <c r="D36" s="2">
        <v>0</v>
      </c>
      <c r="E36" s="2">
        <v>0</v>
      </c>
      <c r="F36" s="3">
        <f t="shared" si="0"/>
        <v>0</v>
      </c>
      <c r="G36" s="3">
        <f t="shared" si="1"/>
        <v>0</v>
      </c>
    </row>
    <row r="37" spans="1:7" x14ac:dyDescent="0.3">
      <c r="A37" s="3">
        <v>28</v>
      </c>
      <c r="B37" s="3" t="s">
        <v>38</v>
      </c>
      <c r="C37" s="2">
        <v>0</v>
      </c>
      <c r="D37" s="2">
        <v>0</v>
      </c>
      <c r="E37" s="2">
        <v>0</v>
      </c>
      <c r="F37" s="3">
        <f t="shared" si="0"/>
        <v>0</v>
      </c>
      <c r="G37" s="3">
        <f t="shared" si="1"/>
        <v>0</v>
      </c>
    </row>
    <row r="38" spans="1:7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3">
        <f t="shared" si="0"/>
        <v>0</v>
      </c>
      <c r="G38" s="3">
        <f t="shared" si="1"/>
        <v>0</v>
      </c>
    </row>
    <row r="39" spans="1:7" x14ac:dyDescent="0.3">
      <c r="A39" s="3">
        <v>30</v>
      </c>
      <c r="B39" s="3" t="s">
        <v>40</v>
      </c>
      <c r="C39" s="2">
        <v>0</v>
      </c>
      <c r="D39" s="2">
        <v>0</v>
      </c>
      <c r="E39" s="2">
        <v>0</v>
      </c>
      <c r="F39" s="3">
        <f t="shared" si="0"/>
        <v>0</v>
      </c>
      <c r="G39" s="3">
        <f t="shared" si="1"/>
        <v>0</v>
      </c>
    </row>
    <row r="40" spans="1:7" x14ac:dyDescent="0.3">
      <c r="A40" s="3">
        <v>31</v>
      </c>
      <c r="B40" s="3" t="s">
        <v>41</v>
      </c>
      <c r="C40" s="2">
        <v>0</v>
      </c>
      <c r="D40" s="2">
        <v>0</v>
      </c>
      <c r="E40" s="2">
        <v>0</v>
      </c>
      <c r="F40" s="3">
        <f t="shared" si="0"/>
        <v>0</v>
      </c>
      <c r="G40" s="3">
        <f t="shared" si="1"/>
        <v>0</v>
      </c>
    </row>
    <row r="41" spans="1:7" x14ac:dyDescent="0.3">
      <c r="A41" s="3">
        <v>32</v>
      </c>
      <c r="B41" s="3" t="s">
        <v>42</v>
      </c>
      <c r="C41" s="2">
        <v>0</v>
      </c>
      <c r="D41" s="2">
        <v>0</v>
      </c>
      <c r="E41" s="2">
        <v>0</v>
      </c>
      <c r="F41" s="3">
        <f t="shared" si="0"/>
        <v>0</v>
      </c>
      <c r="G41" s="3">
        <f t="shared" si="1"/>
        <v>0</v>
      </c>
    </row>
    <row r="42" spans="1:7" x14ac:dyDescent="0.3">
      <c r="A42" s="3">
        <v>33</v>
      </c>
      <c r="B42" s="3" t="s">
        <v>43</v>
      </c>
      <c r="C42" s="2">
        <v>0</v>
      </c>
      <c r="D42" s="2">
        <v>0</v>
      </c>
      <c r="E42" s="2">
        <v>0</v>
      </c>
      <c r="F42" s="3">
        <f t="shared" ref="F42:F73" si="2">SUM(C42:E42)</f>
        <v>0</v>
      </c>
      <c r="G42" s="3">
        <f t="shared" si="1"/>
        <v>0</v>
      </c>
    </row>
    <row r="43" spans="1:7" x14ac:dyDescent="0.3">
      <c r="A43" s="3">
        <v>34</v>
      </c>
      <c r="B43" s="3" t="s">
        <v>44</v>
      </c>
      <c r="C43" s="2">
        <v>0</v>
      </c>
      <c r="D43" s="2">
        <v>0</v>
      </c>
      <c r="E43" s="2">
        <v>0</v>
      </c>
      <c r="F43" s="3">
        <f t="shared" si="2"/>
        <v>0</v>
      </c>
      <c r="G43" s="3">
        <f t="shared" ref="G43:G74" si="3">F43+G42</f>
        <v>0</v>
      </c>
    </row>
    <row r="44" spans="1:7" x14ac:dyDescent="0.3">
      <c r="A44" s="3">
        <v>35</v>
      </c>
      <c r="B44" s="3" t="s">
        <v>45</v>
      </c>
      <c r="C44" s="2">
        <v>0</v>
      </c>
      <c r="D44" s="2">
        <v>0</v>
      </c>
      <c r="E44" s="2">
        <v>0</v>
      </c>
      <c r="F44" s="3">
        <f t="shared" si="2"/>
        <v>0</v>
      </c>
      <c r="G44" s="3">
        <f t="shared" si="3"/>
        <v>0</v>
      </c>
    </row>
    <row r="45" spans="1:7" x14ac:dyDescent="0.3">
      <c r="A45" s="3">
        <v>36</v>
      </c>
      <c r="B45" s="3" t="s">
        <v>46</v>
      </c>
      <c r="C45" s="2">
        <v>0</v>
      </c>
      <c r="D45" s="2">
        <v>0</v>
      </c>
      <c r="E45" s="2">
        <v>0</v>
      </c>
      <c r="F45" s="3">
        <f t="shared" si="2"/>
        <v>0</v>
      </c>
      <c r="G45" s="3">
        <f t="shared" si="3"/>
        <v>0</v>
      </c>
    </row>
    <row r="46" spans="1:7" x14ac:dyDescent="0.3">
      <c r="A46" s="3">
        <v>37</v>
      </c>
      <c r="B46" s="3" t="s">
        <v>47</v>
      </c>
      <c r="C46" s="2">
        <v>0</v>
      </c>
      <c r="D46" s="2">
        <v>0</v>
      </c>
      <c r="E46" s="2">
        <v>0</v>
      </c>
      <c r="F46" s="3">
        <f t="shared" si="2"/>
        <v>0</v>
      </c>
      <c r="G46" s="3">
        <f t="shared" si="3"/>
        <v>0</v>
      </c>
    </row>
    <row r="47" spans="1:7" x14ac:dyDescent="0.3">
      <c r="A47" s="3">
        <v>38</v>
      </c>
      <c r="B47" s="3" t="s">
        <v>48</v>
      </c>
      <c r="C47" s="2">
        <v>0</v>
      </c>
      <c r="D47" s="2">
        <v>0</v>
      </c>
      <c r="E47" s="2">
        <v>0</v>
      </c>
      <c r="F47" s="3">
        <f t="shared" si="2"/>
        <v>0</v>
      </c>
      <c r="G47" s="3">
        <f t="shared" si="3"/>
        <v>0</v>
      </c>
    </row>
    <row r="48" spans="1:7" x14ac:dyDescent="0.3">
      <c r="A48" s="3">
        <v>39</v>
      </c>
      <c r="B48" s="3" t="s">
        <v>49</v>
      </c>
      <c r="C48" s="2">
        <v>0</v>
      </c>
      <c r="D48" s="2">
        <v>0</v>
      </c>
      <c r="E48" s="2">
        <v>0</v>
      </c>
      <c r="F48" s="3">
        <f t="shared" si="2"/>
        <v>0</v>
      </c>
      <c r="G48" s="3">
        <f t="shared" si="3"/>
        <v>0</v>
      </c>
    </row>
    <row r="49" spans="1:7" x14ac:dyDescent="0.3">
      <c r="A49" s="3">
        <v>40</v>
      </c>
      <c r="B49" s="3" t="s">
        <v>50</v>
      </c>
      <c r="C49" s="2">
        <v>0</v>
      </c>
      <c r="D49" s="2">
        <v>0</v>
      </c>
      <c r="E49" s="2">
        <v>0</v>
      </c>
      <c r="F49" s="3">
        <f t="shared" si="2"/>
        <v>0</v>
      </c>
      <c r="G49" s="3">
        <f t="shared" si="3"/>
        <v>0</v>
      </c>
    </row>
    <row r="50" spans="1:7" x14ac:dyDescent="0.3">
      <c r="A50" s="3">
        <v>41</v>
      </c>
      <c r="B50" s="3" t="s">
        <v>51</v>
      </c>
      <c r="C50" s="2">
        <v>0</v>
      </c>
      <c r="D50" s="2">
        <v>0</v>
      </c>
      <c r="E50" s="2">
        <v>0</v>
      </c>
      <c r="F50" s="3">
        <f t="shared" si="2"/>
        <v>0</v>
      </c>
      <c r="G50" s="3">
        <f t="shared" si="3"/>
        <v>0</v>
      </c>
    </row>
    <row r="51" spans="1:7" x14ac:dyDescent="0.3">
      <c r="A51" s="3">
        <v>42</v>
      </c>
      <c r="B51" s="3" t="s">
        <v>52</v>
      </c>
      <c r="C51" s="2">
        <v>0</v>
      </c>
      <c r="D51" s="2">
        <v>0</v>
      </c>
      <c r="E51" s="2">
        <v>0</v>
      </c>
      <c r="F51" s="3">
        <f t="shared" si="2"/>
        <v>0</v>
      </c>
      <c r="G51" s="3">
        <f t="shared" si="3"/>
        <v>0</v>
      </c>
    </row>
    <row r="52" spans="1:7" x14ac:dyDescent="0.3">
      <c r="A52" s="3">
        <v>43</v>
      </c>
      <c r="B52" s="3" t="s">
        <v>53</v>
      </c>
      <c r="C52" s="2">
        <v>0</v>
      </c>
      <c r="D52" s="2">
        <v>0</v>
      </c>
      <c r="E52" s="2">
        <v>0</v>
      </c>
      <c r="F52" s="3">
        <f t="shared" si="2"/>
        <v>0</v>
      </c>
      <c r="G52" s="3">
        <f t="shared" si="3"/>
        <v>0</v>
      </c>
    </row>
    <row r="53" spans="1:7" x14ac:dyDescent="0.3">
      <c r="A53" s="3">
        <v>44</v>
      </c>
      <c r="B53" s="3" t="s">
        <v>54</v>
      </c>
      <c r="C53" s="2">
        <v>0</v>
      </c>
      <c r="D53" s="2">
        <v>0</v>
      </c>
      <c r="E53" s="2">
        <v>0</v>
      </c>
      <c r="F53" s="3">
        <f t="shared" si="2"/>
        <v>0</v>
      </c>
      <c r="G53" s="3">
        <f t="shared" si="3"/>
        <v>0</v>
      </c>
    </row>
    <row r="54" spans="1:7" x14ac:dyDescent="0.3">
      <c r="A54" s="3">
        <v>45</v>
      </c>
      <c r="B54" s="3" t="s">
        <v>55</v>
      </c>
      <c r="C54" s="2">
        <v>0</v>
      </c>
      <c r="D54" s="2">
        <v>0</v>
      </c>
      <c r="E54" s="2">
        <v>0</v>
      </c>
      <c r="F54" s="3">
        <f t="shared" si="2"/>
        <v>0</v>
      </c>
      <c r="G54" s="3">
        <f t="shared" si="3"/>
        <v>0</v>
      </c>
    </row>
    <row r="55" spans="1:7" x14ac:dyDescent="0.3">
      <c r="A55" s="3">
        <v>46</v>
      </c>
      <c r="B55" s="3" t="s">
        <v>56</v>
      </c>
      <c r="C55" s="2">
        <v>0</v>
      </c>
      <c r="D55" s="2">
        <v>0</v>
      </c>
      <c r="E55" s="2">
        <v>0</v>
      </c>
      <c r="F55" s="3">
        <f t="shared" si="2"/>
        <v>0</v>
      </c>
      <c r="G55" s="3">
        <f t="shared" si="3"/>
        <v>0</v>
      </c>
    </row>
    <row r="56" spans="1:7" x14ac:dyDescent="0.3">
      <c r="A56" s="3">
        <v>47</v>
      </c>
      <c r="B56" s="3" t="s">
        <v>57</v>
      </c>
      <c r="C56" s="2">
        <v>0</v>
      </c>
      <c r="D56" s="2">
        <v>0</v>
      </c>
      <c r="E56" s="2">
        <v>0</v>
      </c>
      <c r="F56" s="3">
        <f t="shared" si="2"/>
        <v>0</v>
      </c>
      <c r="G56" s="3">
        <f t="shared" si="3"/>
        <v>0</v>
      </c>
    </row>
    <row r="57" spans="1:7" x14ac:dyDescent="0.3">
      <c r="A57" s="3">
        <v>48</v>
      </c>
      <c r="B57" s="3" t="s">
        <v>58</v>
      </c>
      <c r="C57" s="2">
        <v>0</v>
      </c>
      <c r="D57" s="2">
        <v>0</v>
      </c>
      <c r="E57" s="2">
        <v>0</v>
      </c>
      <c r="F57" s="3">
        <f t="shared" si="2"/>
        <v>0</v>
      </c>
      <c r="G57" s="3">
        <f t="shared" si="3"/>
        <v>0</v>
      </c>
    </row>
    <row r="58" spans="1:7" x14ac:dyDescent="0.3">
      <c r="A58" s="3">
        <v>49</v>
      </c>
      <c r="B58" s="3" t="s">
        <v>59</v>
      </c>
      <c r="C58" s="2">
        <v>0</v>
      </c>
      <c r="D58" s="2">
        <v>0</v>
      </c>
      <c r="E58" s="2">
        <v>0</v>
      </c>
      <c r="F58" s="3">
        <f t="shared" si="2"/>
        <v>0</v>
      </c>
      <c r="G58" s="3">
        <f t="shared" si="3"/>
        <v>0</v>
      </c>
    </row>
    <row r="59" spans="1:7" x14ac:dyDescent="0.3">
      <c r="A59" s="3">
        <v>50</v>
      </c>
      <c r="B59" s="3" t="s">
        <v>60</v>
      </c>
      <c r="C59" s="2">
        <v>0</v>
      </c>
      <c r="D59" s="2">
        <v>0</v>
      </c>
      <c r="E59" s="2">
        <v>0</v>
      </c>
      <c r="F59" s="3">
        <f t="shared" si="2"/>
        <v>0</v>
      </c>
      <c r="G59" s="3">
        <f t="shared" si="3"/>
        <v>0</v>
      </c>
    </row>
    <row r="60" spans="1:7" x14ac:dyDescent="0.3">
      <c r="A60" s="3">
        <v>51</v>
      </c>
      <c r="B60" s="3" t="s">
        <v>61</v>
      </c>
      <c r="C60" s="2">
        <v>0</v>
      </c>
      <c r="D60" s="2">
        <v>0</v>
      </c>
      <c r="E60" s="2">
        <v>0</v>
      </c>
      <c r="F60" s="3">
        <f t="shared" si="2"/>
        <v>0</v>
      </c>
      <c r="G60" s="3">
        <f t="shared" si="3"/>
        <v>0</v>
      </c>
    </row>
    <row r="61" spans="1:7" x14ac:dyDescent="0.3">
      <c r="A61" s="3" t="s">
        <v>2</v>
      </c>
      <c r="B61" s="3" t="s">
        <v>100</v>
      </c>
      <c r="C61" s="3">
        <f>SUM(C10:C60)</f>
        <v>0</v>
      </c>
      <c r="D61" s="3">
        <f>SUM(D10:D60)</f>
        <v>0</v>
      </c>
      <c r="E61" s="3">
        <f>SUM(E10:E60)</f>
        <v>0</v>
      </c>
      <c r="F61" s="3">
        <f>SUM(F10:F60)</f>
        <v>0</v>
      </c>
      <c r="G61" s="3"/>
    </row>
    <row r="63" spans="1:7" x14ac:dyDescent="0.3">
      <c r="A63" t="s">
        <v>101</v>
      </c>
    </row>
    <row r="64" spans="1:7" x14ac:dyDescent="0.3">
      <c r="A64" t="s">
        <v>102</v>
      </c>
    </row>
  </sheetData>
  <mergeCells count="3">
    <mergeCell ref="A6:G6"/>
    <mergeCell ref="A7:G7"/>
    <mergeCell ref="A8:G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6:G64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3.44140625" customWidth="1"/>
    <col min="6" max="6" width="17.33203125" bestFit="1" customWidth="1"/>
    <col min="7" max="7" width="22.77734375" bestFit="1" customWidth="1"/>
  </cols>
  <sheetData>
    <row r="6" spans="1:7" ht="15.6" x14ac:dyDescent="0.3">
      <c r="A6" s="4" t="s">
        <v>90</v>
      </c>
      <c r="B6" s="5"/>
      <c r="C6" s="5"/>
      <c r="D6" s="5"/>
      <c r="E6" s="5"/>
      <c r="F6" s="5"/>
      <c r="G6" s="6"/>
    </row>
    <row r="7" spans="1:7" ht="15.6" x14ac:dyDescent="0.3">
      <c r="A7" s="4" t="s">
        <v>91</v>
      </c>
      <c r="B7" s="5"/>
      <c r="C7" s="5"/>
      <c r="D7" s="5"/>
      <c r="E7" s="5"/>
      <c r="F7" s="5"/>
      <c r="G7" s="6"/>
    </row>
    <row r="8" spans="1:7" x14ac:dyDescent="0.3">
      <c r="A8" s="7" t="s">
        <v>2</v>
      </c>
      <c r="B8" s="8"/>
      <c r="C8" s="8"/>
      <c r="D8" s="8"/>
      <c r="E8" s="8"/>
      <c r="F8" s="8"/>
      <c r="G8" s="9"/>
    </row>
    <row r="9" spans="1:7" x14ac:dyDescent="0.3">
      <c r="A9" s="1"/>
      <c r="B9" s="1" t="s">
        <v>3</v>
      </c>
      <c r="C9" s="1" t="s">
        <v>87</v>
      </c>
      <c r="D9" s="1" t="s">
        <v>88</v>
      </c>
      <c r="E9" s="1" t="s">
        <v>89</v>
      </c>
      <c r="F9" s="1" t="s">
        <v>98</v>
      </c>
      <c r="G9" s="1" t="s">
        <v>99</v>
      </c>
    </row>
    <row r="10" spans="1:7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3">
        <f t="shared" ref="F10:F41" si="0">SUM(C10:E10)</f>
        <v>0</v>
      </c>
      <c r="G10" s="3">
        <f>F10</f>
        <v>0</v>
      </c>
    </row>
    <row r="11" spans="1:7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3">
        <f t="shared" si="0"/>
        <v>0</v>
      </c>
      <c r="G11" s="3">
        <f t="shared" ref="G11:G42" si="1">F11+G10</f>
        <v>0</v>
      </c>
    </row>
    <row r="12" spans="1:7" x14ac:dyDescent="0.3">
      <c r="A12" s="3">
        <v>3</v>
      </c>
      <c r="B12" s="3" t="s">
        <v>13</v>
      </c>
      <c r="C12" s="2">
        <v>0</v>
      </c>
      <c r="D12" s="2">
        <v>0</v>
      </c>
      <c r="E12" s="2">
        <v>0</v>
      </c>
      <c r="F12" s="3">
        <f t="shared" si="0"/>
        <v>0</v>
      </c>
      <c r="G12" s="3">
        <f t="shared" si="1"/>
        <v>0</v>
      </c>
    </row>
    <row r="13" spans="1:7" x14ac:dyDescent="0.3">
      <c r="A13" s="3">
        <v>4</v>
      </c>
      <c r="B13" s="3" t="s">
        <v>14</v>
      </c>
      <c r="C13" s="2">
        <v>0</v>
      </c>
      <c r="D13" s="2">
        <v>0</v>
      </c>
      <c r="E13" s="2">
        <v>0</v>
      </c>
      <c r="F13" s="3">
        <f t="shared" si="0"/>
        <v>0</v>
      </c>
      <c r="G13" s="3">
        <f t="shared" si="1"/>
        <v>0</v>
      </c>
    </row>
    <row r="14" spans="1:7" x14ac:dyDescent="0.3">
      <c r="A14" s="3">
        <v>5</v>
      </c>
      <c r="B14" s="3" t="s">
        <v>15</v>
      </c>
      <c r="C14" s="2">
        <v>0</v>
      </c>
      <c r="D14" s="2">
        <v>0</v>
      </c>
      <c r="E14" s="2">
        <v>0</v>
      </c>
      <c r="F14" s="3">
        <f t="shared" si="0"/>
        <v>0</v>
      </c>
      <c r="G14" s="3">
        <f t="shared" si="1"/>
        <v>0</v>
      </c>
    </row>
    <row r="15" spans="1:7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3">
        <f t="shared" si="0"/>
        <v>0</v>
      </c>
      <c r="G15" s="3">
        <f t="shared" si="1"/>
        <v>0</v>
      </c>
    </row>
    <row r="16" spans="1:7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3">
        <f t="shared" si="0"/>
        <v>0</v>
      </c>
      <c r="G16" s="3">
        <f t="shared" si="1"/>
        <v>0</v>
      </c>
    </row>
    <row r="17" spans="1:7" x14ac:dyDescent="0.3">
      <c r="A17" s="3">
        <v>8</v>
      </c>
      <c r="B17" s="3" t="s">
        <v>18</v>
      </c>
      <c r="C17" s="2">
        <v>0</v>
      </c>
      <c r="D17" s="2">
        <v>0</v>
      </c>
      <c r="E17" s="2">
        <v>0</v>
      </c>
      <c r="F17" s="3">
        <f t="shared" si="0"/>
        <v>0</v>
      </c>
      <c r="G17" s="3">
        <f t="shared" si="1"/>
        <v>0</v>
      </c>
    </row>
    <row r="18" spans="1:7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3">
        <f t="shared" si="0"/>
        <v>0</v>
      </c>
      <c r="G18" s="3">
        <f t="shared" si="1"/>
        <v>0</v>
      </c>
    </row>
    <row r="19" spans="1:7" x14ac:dyDescent="0.3">
      <c r="A19" s="3">
        <v>10</v>
      </c>
      <c r="B19" s="3" t="s">
        <v>20</v>
      </c>
      <c r="C19" s="2">
        <v>0</v>
      </c>
      <c r="D19" s="2">
        <v>0</v>
      </c>
      <c r="E19" s="2">
        <v>0</v>
      </c>
      <c r="F19" s="3">
        <f t="shared" si="0"/>
        <v>0</v>
      </c>
      <c r="G19" s="3">
        <f t="shared" si="1"/>
        <v>0</v>
      </c>
    </row>
    <row r="20" spans="1:7" x14ac:dyDescent="0.3">
      <c r="A20" s="3">
        <v>11</v>
      </c>
      <c r="B20" s="3" t="s">
        <v>21</v>
      </c>
      <c r="C20" s="2">
        <v>0</v>
      </c>
      <c r="D20" s="2">
        <v>0</v>
      </c>
      <c r="E20" s="2">
        <v>0</v>
      </c>
      <c r="F20" s="3">
        <f t="shared" si="0"/>
        <v>0</v>
      </c>
      <c r="G20" s="3">
        <f t="shared" si="1"/>
        <v>0</v>
      </c>
    </row>
    <row r="21" spans="1:7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3">
        <f t="shared" si="0"/>
        <v>0</v>
      </c>
      <c r="G21" s="3">
        <f t="shared" si="1"/>
        <v>0</v>
      </c>
    </row>
    <row r="22" spans="1:7" x14ac:dyDescent="0.3">
      <c r="A22" s="3">
        <v>13</v>
      </c>
      <c r="B22" s="3" t="s">
        <v>23</v>
      </c>
      <c r="C22" s="2">
        <v>0</v>
      </c>
      <c r="D22" s="2">
        <v>0</v>
      </c>
      <c r="E22" s="2">
        <v>0</v>
      </c>
      <c r="F22" s="3">
        <f t="shared" si="0"/>
        <v>0</v>
      </c>
      <c r="G22" s="3">
        <f t="shared" si="1"/>
        <v>0</v>
      </c>
    </row>
    <row r="23" spans="1:7" x14ac:dyDescent="0.3">
      <c r="A23" s="3">
        <v>14</v>
      </c>
      <c r="B23" s="3" t="s">
        <v>24</v>
      </c>
      <c r="C23" s="2">
        <v>0</v>
      </c>
      <c r="D23" s="2">
        <v>0</v>
      </c>
      <c r="E23" s="2">
        <v>0</v>
      </c>
      <c r="F23" s="3">
        <f t="shared" si="0"/>
        <v>0</v>
      </c>
      <c r="G23" s="3">
        <f t="shared" si="1"/>
        <v>0</v>
      </c>
    </row>
    <row r="24" spans="1:7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3">
        <f t="shared" si="0"/>
        <v>0</v>
      </c>
      <c r="G24" s="3">
        <f t="shared" si="1"/>
        <v>0</v>
      </c>
    </row>
    <row r="25" spans="1:7" x14ac:dyDescent="0.3">
      <c r="A25" s="3">
        <v>16</v>
      </c>
      <c r="B25" s="3" t="s">
        <v>26</v>
      </c>
      <c r="C25" s="2">
        <v>34756</v>
      </c>
      <c r="D25" s="2">
        <v>0</v>
      </c>
      <c r="E25" s="2">
        <v>0</v>
      </c>
      <c r="F25" s="3">
        <f t="shared" si="0"/>
        <v>34756</v>
      </c>
      <c r="G25" s="3">
        <f t="shared" si="1"/>
        <v>34756</v>
      </c>
    </row>
    <row r="26" spans="1:7" x14ac:dyDescent="0.3">
      <c r="A26" s="3">
        <v>17</v>
      </c>
      <c r="B26" s="3" t="s">
        <v>27</v>
      </c>
      <c r="C26" s="2">
        <v>0</v>
      </c>
      <c r="D26" s="2">
        <v>0</v>
      </c>
      <c r="E26" s="2">
        <v>0</v>
      </c>
      <c r="F26" s="3">
        <f t="shared" si="0"/>
        <v>0</v>
      </c>
      <c r="G26" s="3">
        <f t="shared" si="1"/>
        <v>34756</v>
      </c>
    </row>
    <row r="27" spans="1:7" x14ac:dyDescent="0.3">
      <c r="A27" s="3">
        <v>18</v>
      </c>
      <c r="B27" s="3" t="s">
        <v>28</v>
      </c>
      <c r="C27" s="2">
        <v>7137</v>
      </c>
      <c r="D27" s="2">
        <v>0</v>
      </c>
      <c r="E27" s="2">
        <v>10025</v>
      </c>
      <c r="F27" s="3">
        <f t="shared" si="0"/>
        <v>17162</v>
      </c>
      <c r="G27" s="3">
        <f t="shared" si="1"/>
        <v>51918</v>
      </c>
    </row>
    <row r="28" spans="1:7" x14ac:dyDescent="0.3">
      <c r="A28" s="3">
        <v>19</v>
      </c>
      <c r="B28" s="3" t="s">
        <v>29</v>
      </c>
      <c r="C28" s="2">
        <v>25606</v>
      </c>
      <c r="D28" s="2">
        <v>0</v>
      </c>
      <c r="E28" s="2">
        <v>0</v>
      </c>
      <c r="F28" s="3">
        <f t="shared" si="0"/>
        <v>25606</v>
      </c>
      <c r="G28" s="3">
        <f t="shared" si="1"/>
        <v>77524</v>
      </c>
    </row>
    <row r="29" spans="1:7" x14ac:dyDescent="0.3">
      <c r="A29" s="3">
        <v>20</v>
      </c>
      <c r="B29" s="3" t="s">
        <v>30</v>
      </c>
      <c r="C29" s="2">
        <v>0</v>
      </c>
      <c r="D29" s="2">
        <v>0</v>
      </c>
      <c r="E29" s="2">
        <v>0</v>
      </c>
      <c r="F29" s="3">
        <f t="shared" si="0"/>
        <v>0</v>
      </c>
      <c r="G29" s="3">
        <f t="shared" si="1"/>
        <v>77524</v>
      </c>
    </row>
    <row r="30" spans="1:7" x14ac:dyDescent="0.3">
      <c r="A30" s="3">
        <v>21</v>
      </c>
      <c r="B30" s="3" t="s">
        <v>31</v>
      </c>
      <c r="C30" s="2">
        <v>0</v>
      </c>
      <c r="D30" s="2">
        <v>0</v>
      </c>
      <c r="E30" s="2">
        <v>0</v>
      </c>
      <c r="F30" s="3">
        <f t="shared" si="0"/>
        <v>0</v>
      </c>
      <c r="G30" s="3">
        <f t="shared" si="1"/>
        <v>77524</v>
      </c>
    </row>
    <row r="31" spans="1:7" x14ac:dyDescent="0.3">
      <c r="A31" s="3">
        <v>22</v>
      </c>
      <c r="B31" s="3" t="s">
        <v>32</v>
      </c>
      <c r="C31" s="2">
        <v>0</v>
      </c>
      <c r="D31" s="2">
        <v>0</v>
      </c>
      <c r="E31" s="2">
        <v>0</v>
      </c>
      <c r="F31" s="3">
        <f t="shared" si="0"/>
        <v>0</v>
      </c>
      <c r="G31" s="3">
        <f t="shared" si="1"/>
        <v>77524</v>
      </c>
    </row>
    <row r="32" spans="1:7" x14ac:dyDescent="0.3">
      <c r="A32" s="3">
        <v>23</v>
      </c>
      <c r="B32" s="3" t="s">
        <v>33</v>
      </c>
      <c r="C32" s="2">
        <v>0</v>
      </c>
      <c r="D32" s="2">
        <v>0</v>
      </c>
      <c r="E32" s="2">
        <v>0</v>
      </c>
      <c r="F32" s="3">
        <f t="shared" si="0"/>
        <v>0</v>
      </c>
      <c r="G32" s="3">
        <f t="shared" si="1"/>
        <v>77524</v>
      </c>
    </row>
    <row r="33" spans="1:7" x14ac:dyDescent="0.3">
      <c r="A33" s="3">
        <v>24</v>
      </c>
      <c r="B33" s="3" t="s">
        <v>34</v>
      </c>
      <c r="C33" s="2">
        <v>0</v>
      </c>
      <c r="D33" s="2">
        <v>0</v>
      </c>
      <c r="E33" s="2">
        <v>0</v>
      </c>
      <c r="F33" s="3">
        <f t="shared" si="0"/>
        <v>0</v>
      </c>
      <c r="G33" s="3">
        <f t="shared" si="1"/>
        <v>77524</v>
      </c>
    </row>
    <row r="34" spans="1:7" x14ac:dyDescent="0.3">
      <c r="A34" s="3">
        <v>25</v>
      </c>
      <c r="B34" s="3" t="s">
        <v>35</v>
      </c>
      <c r="C34" s="2">
        <v>0</v>
      </c>
      <c r="D34" s="2">
        <v>0</v>
      </c>
      <c r="E34" s="2">
        <v>0</v>
      </c>
      <c r="F34" s="3">
        <f t="shared" si="0"/>
        <v>0</v>
      </c>
      <c r="G34" s="3">
        <f t="shared" si="1"/>
        <v>77524</v>
      </c>
    </row>
    <row r="35" spans="1:7" x14ac:dyDescent="0.3">
      <c r="A35" s="3">
        <v>26</v>
      </c>
      <c r="B35" s="3" t="s">
        <v>36</v>
      </c>
      <c r="C35" s="2">
        <v>0</v>
      </c>
      <c r="D35" s="2">
        <v>0</v>
      </c>
      <c r="E35" s="2">
        <v>0</v>
      </c>
      <c r="F35" s="3">
        <f t="shared" si="0"/>
        <v>0</v>
      </c>
      <c r="G35" s="3">
        <f t="shared" si="1"/>
        <v>77524</v>
      </c>
    </row>
    <row r="36" spans="1:7" x14ac:dyDescent="0.3">
      <c r="A36" s="3">
        <v>27</v>
      </c>
      <c r="B36" s="3" t="s">
        <v>37</v>
      </c>
      <c r="C36" s="2">
        <v>0</v>
      </c>
      <c r="D36" s="2">
        <v>0</v>
      </c>
      <c r="E36" s="2">
        <v>0</v>
      </c>
      <c r="F36" s="3">
        <f t="shared" si="0"/>
        <v>0</v>
      </c>
      <c r="G36" s="3">
        <f t="shared" si="1"/>
        <v>77524</v>
      </c>
    </row>
    <row r="37" spans="1:7" x14ac:dyDescent="0.3">
      <c r="A37" s="3">
        <v>28</v>
      </c>
      <c r="B37" s="3" t="s">
        <v>38</v>
      </c>
      <c r="C37" s="2">
        <v>0</v>
      </c>
      <c r="D37" s="2">
        <v>0</v>
      </c>
      <c r="E37" s="2">
        <v>0</v>
      </c>
      <c r="F37" s="3">
        <f t="shared" si="0"/>
        <v>0</v>
      </c>
      <c r="G37" s="3">
        <f t="shared" si="1"/>
        <v>77524</v>
      </c>
    </row>
    <row r="38" spans="1:7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3">
        <f t="shared" si="0"/>
        <v>0</v>
      </c>
      <c r="G38" s="3">
        <f t="shared" si="1"/>
        <v>77524</v>
      </c>
    </row>
    <row r="39" spans="1:7" x14ac:dyDescent="0.3">
      <c r="A39" s="3">
        <v>30</v>
      </c>
      <c r="B39" s="3" t="s">
        <v>40</v>
      </c>
      <c r="C39" s="2">
        <v>0</v>
      </c>
      <c r="D39" s="2">
        <v>0</v>
      </c>
      <c r="E39" s="2">
        <v>0</v>
      </c>
      <c r="F39" s="3">
        <f t="shared" si="0"/>
        <v>0</v>
      </c>
      <c r="G39" s="3">
        <f t="shared" si="1"/>
        <v>77524</v>
      </c>
    </row>
    <row r="40" spans="1:7" x14ac:dyDescent="0.3">
      <c r="A40" s="3">
        <v>31</v>
      </c>
      <c r="B40" s="3" t="s">
        <v>41</v>
      </c>
      <c r="C40" s="2">
        <v>0</v>
      </c>
      <c r="D40" s="2">
        <v>0</v>
      </c>
      <c r="E40" s="2">
        <v>0</v>
      </c>
      <c r="F40" s="3">
        <f t="shared" si="0"/>
        <v>0</v>
      </c>
      <c r="G40" s="3">
        <f t="shared" si="1"/>
        <v>77524</v>
      </c>
    </row>
    <row r="41" spans="1:7" x14ac:dyDescent="0.3">
      <c r="A41" s="3">
        <v>32</v>
      </c>
      <c r="B41" s="3" t="s">
        <v>42</v>
      </c>
      <c r="C41" s="2">
        <v>0</v>
      </c>
      <c r="D41" s="2">
        <v>0</v>
      </c>
      <c r="E41" s="2">
        <v>0</v>
      </c>
      <c r="F41" s="3">
        <f t="shared" si="0"/>
        <v>0</v>
      </c>
      <c r="G41" s="3">
        <f t="shared" si="1"/>
        <v>77524</v>
      </c>
    </row>
    <row r="42" spans="1:7" x14ac:dyDescent="0.3">
      <c r="A42" s="3">
        <v>33</v>
      </c>
      <c r="B42" s="3" t="s">
        <v>43</v>
      </c>
      <c r="C42" s="2">
        <v>32924</v>
      </c>
      <c r="D42" s="2">
        <v>0</v>
      </c>
      <c r="E42" s="2">
        <v>0</v>
      </c>
      <c r="F42" s="3">
        <f t="shared" ref="F42:F73" si="2">SUM(C42:E42)</f>
        <v>32924</v>
      </c>
      <c r="G42" s="3">
        <f t="shared" si="1"/>
        <v>110448</v>
      </c>
    </row>
    <row r="43" spans="1:7" x14ac:dyDescent="0.3">
      <c r="A43" s="3">
        <v>34</v>
      </c>
      <c r="B43" s="3" t="s">
        <v>44</v>
      </c>
      <c r="C43" s="2">
        <v>0</v>
      </c>
      <c r="D43" s="2">
        <v>0</v>
      </c>
      <c r="E43" s="2">
        <v>0</v>
      </c>
      <c r="F43" s="3">
        <f t="shared" si="2"/>
        <v>0</v>
      </c>
      <c r="G43" s="3">
        <f t="shared" ref="G43:G74" si="3">F43+G42</f>
        <v>110448</v>
      </c>
    </row>
    <row r="44" spans="1:7" x14ac:dyDescent="0.3">
      <c r="A44" s="3">
        <v>35</v>
      </c>
      <c r="B44" s="3" t="s">
        <v>45</v>
      </c>
      <c r="C44" s="2">
        <v>0</v>
      </c>
      <c r="D44" s="2">
        <v>0</v>
      </c>
      <c r="E44" s="2">
        <v>0</v>
      </c>
      <c r="F44" s="3">
        <f t="shared" si="2"/>
        <v>0</v>
      </c>
      <c r="G44" s="3">
        <f t="shared" si="3"/>
        <v>110448</v>
      </c>
    </row>
    <row r="45" spans="1:7" x14ac:dyDescent="0.3">
      <c r="A45" s="3">
        <v>36</v>
      </c>
      <c r="B45" s="3" t="s">
        <v>46</v>
      </c>
      <c r="C45" s="2">
        <v>0</v>
      </c>
      <c r="D45" s="2">
        <v>0</v>
      </c>
      <c r="E45" s="2">
        <v>0</v>
      </c>
      <c r="F45" s="3">
        <f t="shared" si="2"/>
        <v>0</v>
      </c>
      <c r="G45" s="3">
        <f t="shared" si="3"/>
        <v>110448</v>
      </c>
    </row>
    <row r="46" spans="1:7" x14ac:dyDescent="0.3">
      <c r="A46" s="3">
        <v>37</v>
      </c>
      <c r="B46" s="3" t="s">
        <v>47</v>
      </c>
      <c r="C46" s="2">
        <v>0</v>
      </c>
      <c r="D46" s="2">
        <v>0</v>
      </c>
      <c r="E46" s="2">
        <v>0</v>
      </c>
      <c r="F46" s="3">
        <f t="shared" si="2"/>
        <v>0</v>
      </c>
      <c r="G46" s="3">
        <f t="shared" si="3"/>
        <v>110448</v>
      </c>
    </row>
    <row r="47" spans="1:7" x14ac:dyDescent="0.3">
      <c r="A47" s="3">
        <v>38</v>
      </c>
      <c r="B47" s="3" t="s">
        <v>48</v>
      </c>
      <c r="C47" s="2">
        <v>0</v>
      </c>
      <c r="D47" s="2">
        <v>0</v>
      </c>
      <c r="E47" s="2">
        <v>0</v>
      </c>
      <c r="F47" s="3">
        <f t="shared" si="2"/>
        <v>0</v>
      </c>
      <c r="G47" s="3">
        <f t="shared" si="3"/>
        <v>110448</v>
      </c>
    </row>
    <row r="48" spans="1:7" x14ac:dyDescent="0.3">
      <c r="A48" s="3">
        <v>39</v>
      </c>
      <c r="B48" s="3" t="s">
        <v>49</v>
      </c>
      <c r="C48" s="2">
        <v>0</v>
      </c>
      <c r="D48" s="2">
        <v>0</v>
      </c>
      <c r="E48" s="2">
        <v>0</v>
      </c>
      <c r="F48" s="3">
        <f t="shared" si="2"/>
        <v>0</v>
      </c>
      <c r="G48" s="3">
        <f t="shared" si="3"/>
        <v>110448</v>
      </c>
    </row>
    <row r="49" spans="1:7" x14ac:dyDescent="0.3">
      <c r="A49" s="3">
        <v>40</v>
      </c>
      <c r="B49" s="3" t="s">
        <v>50</v>
      </c>
      <c r="C49" s="2">
        <v>0</v>
      </c>
      <c r="D49" s="2">
        <v>0</v>
      </c>
      <c r="E49" s="2">
        <v>0</v>
      </c>
      <c r="F49" s="3">
        <f t="shared" si="2"/>
        <v>0</v>
      </c>
      <c r="G49" s="3">
        <f t="shared" si="3"/>
        <v>110448</v>
      </c>
    </row>
    <row r="50" spans="1:7" x14ac:dyDescent="0.3">
      <c r="A50" s="3">
        <v>41</v>
      </c>
      <c r="B50" s="3" t="s">
        <v>51</v>
      </c>
      <c r="C50" s="2">
        <v>0</v>
      </c>
      <c r="D50" s="2">
        <v>0</v>
      </c>
      <c r="E50" s="2">
        <v>0</v>
      </c>
      <c r="F50" s="3">
        <f t="shared" si="2"/>
        <v>0</v>
      </c>
      <c r="G50" s="3">
        <f t="shared" si="3"/>
        <v>110448</v>
      </c>
    </row>
    <row r="51" spans="1:7" x14ac:dyDescent="0.3">
      <c r="A51" s="3">
        <v>42</v>
      </c>
      <c r="B51" s="3" t="s">
        <v>52</v>
      </c>
      <c r="C51" s="2">
        <v>0</v>
      </c>
      <c r="D51" s="2">
        <v>0</v>
      </c>
      <c r="E51" s="2">
        <v>0</v>
      </c>
      <c r="F51" s="3">
        <f t="shared" si="2"/>
        <v>0</v>
      </c>
      <c r="G51" s="3">
        <f t="shared" si="3"/>
        <v>110448</v>
      </c>
    </row>
    <row r="52" spans="1:7" x14ac:dyDescent="0.3">
      <c r="A52" s="3">
        <v>43</v>
      </c>
      <c r="B52" s="3" t="s">
        <v>53</v>
      </c>
      <c r="C52" s="2">
        <v>0</v>
      </c>
      <c r="D52" s="2">
        <v>0</v>
      </c>
      <c r="E52" s="2">
        <v>0</v>
      </c>
      <c r="F52" s="3">
        <f t="shared" si="2"/>
        <v>0</v>
      </c>
      <c r="G52" s="3">
        <f t="shared" si="3"/>
        <v>110448</v>
      </c>
    </row>
    <row r="53" spans="1:7" x14ac:dyDescent="0.3">
      <c r="A53" s="3">
        <v>44</v>
      </c>
      <c r="B53" s="3" t="s">
        <v>54</v>
      </c>
      <c r="C53" s="2">
        <v>0</v>
      </c>
      <c r="D53" s="2">
        <v>0</v>
      </c>
      <c r="E53" s="2">
        <v>0</v>
      </c>
      <c r="F53" s="3">
        <f t="shared" si="2"/>
        <v>0</v>
      </c>
      <c r="G53" s="3">
        <f t="shared" si="3"/>
        <v>110448</v>
      </c>
    </row>
    <row r="54" spans="1:7" x14ac:dyDescent="0.3">
      <c r="A54" s="3">
        <v>45</v>
      </c>
      <c r="B54" s="3" t="s">
        <v>55</v>
      </c>
      <c r="C54" s="2">
        <v>0</v>
      </c>
      <c r="D54" s="2">
        <v>0</v>
      </c>
      <c r="E54" s="2">
        <v>0</v>
      </c>
      <c r="F54" s="3">
        <f t="shared" si="2"/>
        <v>0</v>
      </c>
      <c r="G54" s="3">
        <f t="shared" si="3"/>
        <v>110448</v>
      </c>
    </row>
    <row r="55" spans="1:7" x14ac:dyDescent="0.3">
      <c r="A55" s="3">
        <v>46</v>
      </c>
      <c r="B55" s="3" t="s">
        <v>56</v>
      </c>
      <c r="C55" s="2">
        <v>0</v>
      </c>
      <c r="D55" s="2">
        <v>0</v>
      </c>
      <c r="E55" s="2">
        <v>0</v>
      </c>
      <c r="F55" s="3">
        <f t="shared" si="2"/>
        <v>0</v>
      </c>
      <c r="G55" s="3">
        <f t="shared" si="3"/>
        <v>110448</v>
      </c>
    </row>
    <row r="56" spans="1:7" x14ac:dyDescent="0.3">
      <c r="A56" s="3">
        <v>47</v>
      </c>
      <c r="B56" s="3" t="s">
        <v>57</v>
      </c>
      <c r="C56" s="2">
        <v>0</v>
      </c>
      <c r="D56" s="2">
        <v>0</v>
      </c>
      <c r="E56" s="2">
        <v>0</v>
      </c>
      <c r="F56" s="3">
        <f t="shared" si="2"/>
        <v>0</v>
      </c>
      <c r="G56" s="3">
        <f t="shared" si="3"/>
        <v>110448</v>
      </c>
    </row>
    <row r="57" spans="1:7" x14ac:dyDescent="0.3">
      <c r="A57" s="3">
        <v>48</v>
      </c>
      <c r="B57" s="3" t="s">
        <v>58</v>
      </c>
      <c r="C57" s="2">
        <v>0</v>
      </c>
      <c r="D57" s="2">
        <v>0</v>
      </c>
      <c r="E57" s="2">
        <v>0</v>
      </c>
      <c r="F57" s="3">
        <f t="shared" si="2"/>
        <v>0</v>
      </c>
      <c r="G57" s="3">
        <f t="shared" si="3"/>
        <v>110448</v>
      </c>
    </row>
    <row r="58" spans="1:7" x14ac:dyDescent="0.3">
      <c r="A58" s="3">
        <v>49</v>
      </c>
      <c r="B58" s="3" t="s">
        <v>59</v>
      </c>
      <c r="C58" s="2">
        <v>0</v>
      </c>
      <c r="D58" s="2">
        <v>0</v>
      </c>
      <c r="E58" s="2">
        <v>0</v>
      </c>
      <c r="F58" s="3">
        <f t="shared" si="2"/>
        <v>0</v>
      </c>
      <c r="G58" s="3">
        <f t="shared" si="3"/>
        <v>110448</v>
      </c>
    </row>
    <row r="59" spans="1:7" x14ac:dyDescent="0.3">
      <c r="A59" s="3">
        <v>50</v>
      </c>
      <c r="B59" s="3" t="s">
        <v>60</v>
      </c>
      <c r="C59" s="2">
        <v>0</v>
      </c>
      <c r="D59" s="2">
        <v>0</v>
      </c>
      <c r="E59" s="2">
        <v>0</v>
      </c>
      <c r="F59" s="3">
        <f t="shared" si="2"/>
        <v>0</v>
      </c>
      <c r="G59" s="3">
        <f t="shared" si="3"/>
        <v>110448</v>
      </c>
    </row>
    <row r="60" spans="1:7" x14ac:dyDescent="0.3">
      <c r="A60" s="3">
        <v>51</v>
      </c>
      <c r="B60" s="3" t="s">
        <v>61</v>
      </c>
      <c r="C60" s="2">
        <v>0</v>
      </c>
      <c r="D60" s="2">
        <v>0</v>
      </c>
      <c r="E60" s="2">
        <v>0</v>
      </c>
      <c r="F60" s="3">
        <f t="shared" si="2"/>
        <v>0</v>
      </c>
      <c r="G60" s="3">
        <f t="shared" si="3"/>
        <v>110448</v>
      </c>
    </row>
    <row r="61" spans="1:7" x14ac:dyDescent="0.3">
      <c r="A61" s="3" t="s">
        <v>2</v>
      </c>
      <c r="B61" s="3" t="s">
        <v>100</v>
      </c>
      <c r="C61" s="3">
        <f>SUM(C10:C60)</f>
        <v>100423</v>
      </c>
      <c r="D61" s="3">
        <f>SUM(D10:D60)</f>
        <v>0</v>
      </c>
      <c r="E61" s="3">
        <f>SUM(E10:E60)</f>
        <v>10025</v>
      </c>
      <c r="F61" s="3">
        <f>SUM(F10:F60)</f>
        <v>110448</v>
      </c>
      <c r="G61" s="3"/>
    </row>
    <row r="63" spans="1:7" x14ac:dyDescent="0.3">
      <c r="A63" t="s">
        <v>101</v>
      </c>
    </row>
    <row r="64" spans="1:7" x14ac:dyDescent="0.3">
      <c r="A64" t="s">
        <v>102</v>
      </c>
    </row>
  </sheetData>
  <mergeCells count="3">
    <mergeCell ref="A6:G6"/>
    <mergeCell ref="A7:G7"/>
    <mergeCell ref="A8:G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6:G61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3.44140625" customWidth="1"/>
    <col min="6" max="6" width="16.21875" bestFit="1" customWidth="1"/>
    <col min="7" max="7" width="21.77734375" bestFit="1" customWidth="1"/>
  </cols>
  <sheetData>
    <row r="6" spans="1:7" ht="15.6" x14ac:dyDescent="0.3">
      <c r="A6" s="4" t="s">
        <v>92</v>
      </c>
      <c r="B6" s="5"/>
      <c r="C6" s="5"/>
      <c r="D6" s="5"/>
      <c r="E6" s="5"/>
      <c r="F6" s="5"/>
      <c r="G6" s="6"/>
    </row>
    <row r="7" spans="1:7" ht="15.6" x14ac:dyDescent="0.3">
      <c r="A7" s="4" t="s">
        <v>93</v>
      </c>
      <c r="B7" s="5"/>
      <c r="C7" s="5"/>
      <c r="D7" s="5"/>
      <c r="E7" s="5"/>
      <c r="F7" s="5"/>
      <c r="G7" s="6"/>
    </row>
    <row r="8" spans="1:7" x14ac:dyDescent="0.3">
      <c r="A8" s="7" t="s">
        <v>2</v>
      </c>
      <c r="B8" s="8"/>
      <c r="C8" s="8"/>
      <c r="D8" s="8"/>
      <c r="E8" s="8"/>
      <c r="F8" s="8"/>
      <c r="G8" s="9"/>
    </row>
    <row r="9" spans="1:7" x14ac:dyDescent="0.3">
      <c r="A9" s="1"/>
      <c r="B9" s="1" t="s">
        <v>3</v>
      </c>
      <c r="C9" s="1" t="s">
        <v>87</v>
      </c>
      <c r="D9" s="1" t="s">
        <v>88</v>
      </c>
      <c r="E9" s="1" t="s">
        <v>89</v>
      </c>
      <c r="F9" s="1" t="s">
        <v>96</v>
      </c>
      <c r="G9" s="1" t="s">
        <v>97</v>
      </c>
    </row>
    <row r="10" spans="1:7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3">
        <f t="shared" ref="F10:F41" si="0">SUM(C10:E10)</f>
        <v>0</v>
      </c>
      <c r="G10" s="3">
        <f>F10</f>
        <v>0</v>
      </c>
    </row>
    <row r="11" spans="1:7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3">
        <f t="shared" si="0"/>
        <v>0</v>
      </c>
      <c r="G11" s="3">
        <f t="shared" ref="G11:G42" si="1">F11+G10</f>
        <v>0</v>
      </c>
    </row>
    <row r="12" spans="1:7" x14ac:dyDescent="0.3">
      <c r="A12" s="3">
        <v>3</v>
      </c>
      <c r="B12" s="3" t="s">
        <v>13</v>
      </c>
      <c r="C12" s="2">
        <v>0</v>
      </c>
      <c r="D12" s="2">
        <v>0</v>
      </c>
      <c r="E12" s="2">
        <v>0</v>
      </c>
      <c r="F12" s="3">
        <f t="shared" si="0"/>
        <v>0</v>
      </c>
      <c r="G12" s="3">
        <f t="shared" si="1"/>
        <v>0</v>
      </c>
    </row>
    <row r="13" spans="1:7" x14ac:dyDescent="0.3">
      <c r="A13" s="3">
        <v>4</v>
      </c>
      <c r="B13" s="3" t="s">
        <v>14</v>
      </c>
      <c r="C13" s="2">
        <v>0</v>
      </c>
      <c r="D13" s="2">
        <v>0</v>
      </c>
      <c r="E13" s="2">
        <v>0</v>
      </c>
      <c r="F13" s="3">
        <f t="shared" si="0"/>
        <v>0</v>
      </c>
      <c r="G13" s="3">
        <f t="shared" si="1"/>
        <v>0</v>
      </c>
    </row>
    <row r="14" spans="1:7" x14ac:dyDescent="0.3">
      <c r="A14" s="3">
        <v>5</v>
      </c>
      <c r="B14" s="3" t="s">
        <v>15</v>
      </c>
      <c r="C14" s="2">
        <v>0</v>
      </c>
      <c r="D14" s="2">
        <v>0</v>
      </c>
      <c r="E14" s="2">
        <v>0</v>
      </c>
      <c r="F14" s="3">
        <f t="shared" si="0"/>
        <v>0</v>
      </c>
      <c r="G14" s="3">
        <f t="shared" si="1"/>
        <v>0</v>
      </c>
    </row>
    <row r="15" spans="1:7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3">
        <f t="shared" si="0"/>
        <v>0</v>
      </c>
      <c r="G15" s="3">
        <f t="shared" si="1"/>
        <v>0</v>
      </c>
    </row>
    <row r="16" spans="1:7" x14ac:dyDescent="0.3">
      <c r="A16" s="3">
        <v>7</v>
      </c>
      <c r="B16" s="3" t="s">
        <v>17</v>
      </c>
      <c r="C16" s="2">
        <v>0</v>
      </c>
      <c r="D16" s="2">
        <v>0</v>
      </c>
      <c r="E16" s="2">
        <v>0</v>
      </c>
      <c r="F16" s="3">
        <f t="shared" si="0"/>
        <v>0</v>
      </c>
      <c r="G16" s="3">
        <f t="shared" si="1"/>
        <v>0</v>
      </c>
    </row>
    <row r="17" spans="1:7" x14ac:dyDescent="0.3">
      <c r="A17" s="3">
        <v>8</v>
      </c>
      <c r="B17" s="3" t="s">
        <v>18</v>
      </c>
      <c r="C17" s="2">
        <v>0</v>
      </c>
      <c r="D17" s="2">
        <v>0</v>
      </c>
      <c r="E17" s="2">
        <v>0</v>
      </c>
      <c r="F17" s="3">
        <f t="shared" si="0"/>
        <v>0</v>
      </c>
      <c r="G17" s="3">
        <f t="shared" si="1"/>
        <v>0</v>
      </c>
    </row>
    <row r="18" spans="1:7" x14ac:dyDescent="0.3">
      <c r="A18" s="3">
        <v>9</v>
      </c>
      <c r="B18" s="3" t="s">
        <v>19</v>
      </c>
      <c r="C18" s="2">
        <v>0</v>
      </c>
      <c r="D18" s="2">
        <v>0</v>
      </c>
      <c r="E18" s="2">
        <v>0</v>
      </c>
      <c r="F18" s="3">
        <f t="shared" si="0"/>
        <v>0</v>
      </c>
      <c r="G18" s="3">
        <f t="shared" si="1"/>
        <v>0</v>
      </c>
    </row>
    <row r="19" spans="1:7" x14ac:dyDescent="0.3">
      <c r="A19" s="3">
        <v>10</v>
      </c>
      <c r="B19" s="3" t="s">
        <v>20</v>
      </c>
      <c r="C19" s="2">
        <v>0</v>
      </c>
      <c r="D19" s="2">
        <v>0</v>
      </c>
      <c r="E19" s="2">
        <v>0</v>
      </c>
      <c r="F19" s="3">
        <f t="shared" si="0"/>
        <v>0</v>
      </c>
      <c r="G19" s="3">
        <f t="shared" si="1"/>
        <v>0</v>
      </c>
    </row>
    <row r="20" spans="1:7" x14ac:dyDescent="0.3">
      <c r="A20" s="3">
        <v>11</v>
      </c>
      <c r="B20" s="3" t="s">
        <v>21</v>
      </c>
      <c r="C20" s="2">
        <v>0</v>
      </c>
      <c r="D20" s="2">
        <v>0</v>
      </c>
      <c r="E20" s="2">
        <v>0</v>
      </c>
      <c r="F20" s="3">
        <f t="shared" si="0"/>
        <v>0</v>
      </c>
      <c r="G20" s="3">
        <f t="shared" si="1"/>
        <v>0</v>
      </c>
    </row>
    <row r="21" spans="1:7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3">
        <f t="shared" si="0"/>
        <v>0</v>
      </c>
      <c r="G21" s="3">
        <f t="shared" si="1"/>
        <v>0</v>
      </c>
    </row>
    <row r="22" spans="1:7" x14ac:dyDescent="0.3">
      <c r="A22" s="3">
        <v>13</v>
      </c>
      <c r="B22" s="3" t="s">
        <v>23</v>
      </c>
      <c r="C22" s="2">
        <v>0</v>
      </c>
      <c r="D22" s="2">
        <v>0</v>
      </c>
      <c r="E22" s="2">
        <v>0</v>
      </c>
      <c r="F22" s="3">
        <f t="shared" si="0"/>
        <v>0</v>
      </c>
      <c r="G22" s="3">
        <f t="shared" si="1"/>
        <v>0</v>
      </c>
    </row>
    <row r="23" spans="1:7" x14ac:dyDescent="0.3">
      <c r="A23" s="3">
        <v>14</v>
      </c>
      <c r="B23" s="3" t="s">
        <v>24</v>
      </c>
      <c r="C23" s="2">
        <v>0</v>
      </c>
      <c r="D23" s="2">
        <v>17866</v>
      </c>
      <c r="E23" s="2">
        <v>0</v>
      </c>
      <c r="F23" s="3">
        <f t="shared" si="0"/>
        <v>17866</v>
      </c>
      <c r="G23" s="3">
        <f t="shared" si="1"/>
        <v>17866</v>
      </c>
    </row>
    <row r="24" spans="1:7" x14ac:dyDescent="0.3">
      <c r="A24" s="3">
        <v>15</v>
      </c>
      <c r="B24" s="3" t="s">
        <v>25</v>
      </c>
      <c r="C24" s="2">
        <v>0</v>
      </c>
      <c r="D24" s="2">
        <v>15134</v>
      </c>
      <c r="E24" s="2">
        <v>0</v>
      </c>
      <c r="F24" s="3">
        <f t="shared" si="0"/>
        <v>15134</v>
      </c>
      <c r="G24" s="3">
        <f t="shared" si="1"/>
        <v>33000</v>
      </c>
    </row>
    <row r="25" spans="1:7" x14ac:dyDescent="0.3">
      <c r="A25" s="3">
        <v>16</v>
      </c>
      <c r="B25" s="3" t="s">
        <v>26</v>
      </c>
      <c r="C25" s="2">
        <v>0</v>
      </c>
      <c r="D25" s="2">
        <v>33001</v>
      </c>
      <c r="E25" s="2">
        <v>0</v>
      </c>
      <c r="F25" s="3">
        <f t="shared" si="0"/>
        <v>33001</v>
      </c>
      <c r="G25" s="3">
        <f t="shared" si="1"/>
        <v>66001</v>
      </c>
    </row>
    <row r="26" spans="1:7" x14ac:dyDescent="0.3">
      <c r="A26" s="3">
        <v>17</v>
      </c>
      <c r="B26" s="3" t="s">
        <v>27</v>
      </c>
      <c r="C26" s="2">
        <v>0</v>
      </c>
      <c r="D26" s="2">
        <v>0</v>
      </c>
      <c r="E26" s="2">
        <v>0</v>
      </c>
      <c r="F26" s="3">
        <f t="shared" si="0"/>
        <v>0</v>
      </c>
      <c r="G26" s="3">
        <f t="shared" si="1"/>
        <v>66001</v>
      </c>
    </row>
    <row r="27" spans="1:7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3">
        <f t="shared" si="0"/>
        <v>0</v>
      </c>
      <c r="G27" s="3">
        <f t="shared" si="1"/>
        <v>66001</v>
      </c>
    </row>
    <row r="28" spans="1:7" x14ac:dyDescent="0.3">
      <c r="A28" s="3">
        <v>19</v>
      </c>
      <c r="B28" s="3" t="s">
        <v>29</v>
      </c>
      <c r="C28" s="2">
        <v>0</v>
      </c>
      <c r="D28" s="2">
        <v>11005</v>
      </c>
      <c r="E28" s="2">
        <v>0</v>
      </c>
      <c r="F28" s="3">
        <f t="shared" si="0"/>
        <v>11005</v>
      </c>
      <c r="G28" s="3">
        <f t="shared" si="1"/>
        <v>77006</v>
      </c>
    </row>
    <row r="29" spans="1:7" x14ac:dyDescent="0.3">
      <c r="A29" s="3">
        <v>20</v>
      </c>
      <c r="B29" s="3" t="s">
        <v>30</v>
      </c>
      <c r="C29" s="2">
        <v>0</v>
      </c>
      <c r="D29" s="2">
        <v>0</v>
      </c>
      <c r="E29" s="2">
        <v>0</v>
      </c>
      <c r="F29" s="3">
        <f t="shared" si="0"/>
        <v>0</v>
      </c>
      <c r="G29" s="3">
        <f t="shared" si="1"/>
        <v>77006</v>
      </c>
    </row>
    <row r="30" spans="1:7" x14ac:dyDescent="0.3">
      <c r="A30" s="3">
        <v>21</v>
      </c>
      <c r="B30" s="3" t="s">
        <v>31</v>
      </c>
      <c r="C30" s="2">
        <v>0</v>
      </c>
      <c r="D30" s="2">
        <v>0</v>
      </c>
      <c r="E30" s="2">
        <v>0</v>
      </c>
      <c r="F30" s="3">
        <f t="shared" si="0"/>
        <v>0</v>
      </c>
      <c r="G30" s="3">
        <f t="shared" si="1"/>
        <v>77006</v>
      </c>
    </row>
    <row r="31" spans="1:7" x14ac:dyDescent="0.3">
      <c r="A31" s="3">
        <v>22</v>
      </c>
      <c r="B31" s="3" t="s">
        <v>32</v>
      </c>
      <c r="C31" s="2">
        <v>0</v>
      </c>
      <c r="D31" s="2">
        <v>0</v>
      </c>
      <c r="E31" s="2">
        <v>0</v>
      </c>
      <c r="F31" s="3">
        <f t="shared" si="0"/>
        <v>0</v>
      </c>
      <c r="G31" s="3">
        <f t="shared" si="1"/>
        <v>77006</v>
      </c>
    </row>
    <row r="32" spans="1:7" x14ac:dyDescent="0.3">
      <c r="A32" s="3">
        <v>23</v>
      </c>
      <c r="B32" s="3" t="s">
        <v>33</v>
      </c>
      <c r="C32" s="2">
        <v>0</v>
      </c>
      <c r="D32" s="2">
        <v>0</v>
      </c>
      <c r="E32" s="2">
        <v>0</v>
      </c>
      <c r="F32" s="3">
        <f t="shared" si="0"/>
        <v>0</v>
      </c>
      <c r="G32" s="3">
        <f t="shared" si="1"/>
        <v>77006</v>
      </c>
    </row>
    <row r="33" spans="1:7" x14ac:dyDescent="0.3">
      <c r="A33" s="3">
        <v>24</v>
      </c>
      <c r="B33" s="3" t="s">
        <v>34</v>
      </c>
      <c r="C33" s="2">
        <v>0</v>
      </c>
      <c r="D33" s="2">
        <v>0</v>
      </c>
      <c r="E33" s="2">
        <v>0</v>
      </c>
      <c r="F33" s="3">
        <f t="shared" si="0"/>
        <v>0</v>
      </c>
      <c r="G33" s="3">
        <f t="shared" si="1"/>
        <v>77006</v>
      </c>
    </row>
    <row r="34" spans="1:7" x14ac:dyDescent="0.3">
      <c r="A34" s="3">
        <v>25</v>
      </c>
      <c r="B34" s="3" t="s">
        <v>35</v>
      </c>
      <c r="C34" s="2">
        <v>0</v>
      </c>
      <c r="D34" s="2">
        <v>0</v>
      </c>
      <c r="E34" s="2">
        <v>0</v>
      </c>
      <c r="F34" s="3">
        <f t="shared" si="0"/>
        <v>0</v>
      </c>
      <c r="G34" s="3">
        <f t="shared" si="1"/>
        <v>77006</v>
      </c>
    </row>
    <row r="35" spans="1:7" x14ac:dyDescent="0.3">
      <c r="A35" s="3">
        <v>26</v>
      </c>
      <c r="B35" s="3" t="s">
        <v>36</v>
      </c>
      <c r="C35" s="2">
        <v>0</v>
      </c>
      <c r="D35" s="2">
        <v>20995</v>
      </c>
      <c r="E35" s="2">
        <v>0</v>
      </c>
      <c r="F35" s="3">
        <f t="shared" si="0"/>
        <v>20995</v>
      </c>
      <c r="G35" s="3">
        <f t="shared" si="1"/>
        <v>98001</v>
      </c>
    </row>
    <row r="36" spans="1:7" x14ac:dyDescent="0.3">
      <c r="A36" s="3">
        <v>27</v>
      </c>
      <c r="B36" s="3" t="s">
        <v>37</v>
      </c>
      <c r="C36" s="2">
        <v>0</v>
      </c>
      <c r="D36" s="2">
        <v>0</v>
      </c>
      <c r="E36" s="2">
        <v>0</v>
      </c>
      <c r="F36" s="3">
        <f t="shared" si="0"/>
        <v>0</v>
      </c>
      <c r="G36" s="3">
        <f t="shared" si="1"/>
        <v>98001</v>
      </c>
    </row>
    <row r="37" spans="1:7" x14ac:dyDescent="0.3">
      <c r="A37" s="3">
        <v>28</v>
      </c>
      <c r="B37" s="3" t="s">
        <v>38</v>
      </c>
      <c r="C37" s="2">
        <v>0</v>
      </c>
      <c r="D37" s="2">
        <v>10009</v>
      </c>
      <c r="E37" s="2">
        <v>0</v>
      </c>
      <c r="F37" s="3">
        <f t="shared" si="0"/>
        <v>10009</v>
      </c>
      <c r="G37" s="3">
        <f t="shared" si="1"/>
        <v>108010</v>
      </c>
    </row>
    <row r="38" spans="1:7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3">
        <f t="shared" si="0"/>
        <v>0</v>
      </c>
      <c r="G38" s="3">
        <f t="shared" si="1"/>
        <v>108010</v>
      </c>
    </row>
    <row r="39" spans="1:7" x14ac:dyDescent="0.3">
      <c r="A39" s="3">
        <v>30</v>
      </c>
      <c r="B39" s="3" t="s">
        <v>40</v>
      </c>
      <c r="C39" s="2">
        <v>0</v>
      </c>
      <c r="D39" s="2">
        <v>0</v>
      </c>
      <c r="E39" s="2">
        <v>0</v>
      </c>
      <c r="F39" s="3">
        <f t="shared" si="0"/>
        <v>0</v>
      </c>
      <c r="G39" s="3">
        <f t="shared" si="1"/>
        <v>108010</v>
      </c>
    </row>
    <row r="40" spans="1:7" x14ac:dyDescent="0.3">
      <c r="A40" s="3">
        <v>31</v>
      </c>
      <c r="B40" s="3" t="s">
        <v>41</v>
      </c>
      <c r="C40" s="2">
        <v>0</v>
      </c>
      <c r="D40" s="2">
        <v>0</v>
      </c>
      <c r="E40" s="2">
        <v>0</v>
      </c>
      <c r="F40" s="3">
        <f t="shared" si="0"/>
        <v>0</v>
      </c>
      <c r="G40" s="3">
        <f t="shared" si="1"/>
        <v>108010</v>
      </c>
    </row>
    <row r="41" spans="1:7" x14ac:dyDescent="0.3">
      <c r="A41" s="3">
        <v>32</v>
      </c>
      <c r="B41" s="3" t="s">
        <v>42</v>
      </c>
      <c r="C41" s="2">
        <v>0</v>
      </c>
      <c r="D41" s="2">
        <v>0</v>
      </c>
      <c r="E41" s="2">
        <v>0</v>
      </c>
      <c r="F41" s="3">
        <f t="shared" si="0"/>
        <v>0</v>
      </c>
      <c r="G41" s="3">
        <f t="shared" si="1"/>
        <v>108010</v>
      </c>
    </row>
    <row r="42" spans="1:7" x14ac:dyDescent="0.3">
      <c r="A42" s="3">
        <v>33</v>
      </c>
      <c r="B42" s="3" t="s">
        <v>43</v>
      </c>
      <c r="C42" s="2">
        <v>0</v>
      </c>
      <c r="D42" s="2">
        <v>0</v>
      </c>
      <c r="E42" s="2">
        <v>0</v>
      </c>
      <c r="F42" s="3">
        <f t="shared" ref="F42:F73" si="2">SUM(C42:E42)</f>
        <v>0</v>
      </c>
      <c r="G42" s="3">
        <f t="shared" si="1"/>
        <v>108010</v>
      </c>
    </row>
    <row r="43" spans="1:7" x14ac:dyDescent="0.3">
      <c r="A43" s="3">
        <v>34</v>
      </c>
      <c r="B43" s="3" t="s">
        <v>44</v>
      </c>
      <c r="C43" s="2">
        <v>0</v>
      </c>
      <c r="D43" s="2">
        <v>0</v>
      </c>
      <c r="E43" s="2">
        <v>0</v>
      </c>
      <c r="F43" s="3">
        <f t="shared" si="2"/>
        <v>0</v>
      </c>
      <c r="G43" s="3">
        <f t="shared" ref="G43:G74" si="3">F43+G42</f>
        <v>108010</v>
      </c>
    </row>
    <row r="44" spans="1:7" x14ac:dyDescent="0.3">
      <c r="A44" s="3">
        <v>35</v>
      </c>
      <c r="B44" s="3" t="s">
        <v>45</v>
      </c>
      <c r="C44" s="2">
        <v>0</v>
      </c>
      <c r="D44" s="2">
        <v>0</v>
      </c>
      <c r="E44" s="2">
        <v>0</v>
      </c>
      <c r="F44" s="3">
        <f t="shared" si="2"/>
        <v>0</v>
      </c>
      <c r="G44" s="3">
        <f t="shared" si="3"/>
        <v>108010</v>
      </c>
    </row>
    <row r="45" spans="1:7" x14ac:dyDescent="0.3">
      <c r="A45" s="3">
        <v>36</v>
      </c>
      <c r="B45" s="3" t="s">
        <v>46</v>
      </c>
      <c r="C45" s="2">
        <v>0</v>
      </c>
      <c r="D45" s="2">
        <v>0</v>
      </c>
      <c r="E45" s="2">
        <v>0</v>
      </c>
      <c r="F45" s="3">
        <f t="shared" si="2"/>
        <v>0</v>
      </c>
      <c r="G45" s="3">
        <f t="shared" si="3"/>
        <v>108010</v>
      </c>
    </row>
    <row r="46" spans="1:7" x14ac:dyDescent="0.3">
      <c r="A46" s="3">
        <v>37</v>
      </c>
      <c r="B46" s="3" t="s">
        <v>47</v>
      </c>
      <c r="C46" s="2">
        <v>0</v>
      </c>
      <c r="D46" s="2">
        <v>0</v>
      </c>
      <c r="E46" s="2">
        <v>0</v>
      </c>
      <c r="F46" s="3">
        <f t="shared" si="2"/>
        <v>0</v>
      </c>
      <c r="G46" s="3">
        <f t="shared" si="3"/>
        <v>108010</v>
      </c>
    </row>
    <row r="47" spans="1:7" x14ac:dyDescent="0.3">
      <c r="A47" s="3">
        <v>38</v>
      </c>
      <c r="B47" s="3" t="s">
        <v>48</v>
      </c>
      <c r="C47" s="2">
        <v>0</v>
      </c>
      <c r="D47" s="2">
        <v>0</v>
      </c>
      <c r="E47" s="2">
        <v>0</v>
      </c>
      <c r="F47" s="3">
        <f t="shared" si="2"/>
        <v>0</v>
      </c>
      <c r="G47" s="3">
        <f t="shared" si="3"/>
        <v>108010</v>
      </c>
    </row>
    <row r="48" spans="1:7" x14ac:dyDescent="0.3">
      <c r="A48" s="3">
        <v>39</v>
      </c>
      <c r="B48" s="3" t="s">
        <v>49</v>
      </c>
      <c r="C48" s="2">
        <v>0</v>
      </c>
      <c r="D48" s="2">
        <v>0</v>
      </c>
      <c r="E48" s="2">
        <v>0</v>
      </c>
      <c r="F48" s="3">
        <f t="shared" si="2"/>
        <v>0</v>
      </c>
      <c r="G48" s="3">
        <f t="shared" si="3"/>
        <v>108010</v>
      </c>
    </row>
    <row r="49" spans="1:7" x14ac:dyDescent="0.3">
      <c r="A49" s="3">
        <v>40</v>
      </c>
      <c r="B49" s="3" t="s">
        <v>50</v>
      </c>
      <c r="C49" s="2">
        <v>0</v>
      </c>
      <c r="D49" s="2">
        <v>10052</v>
      </c>
      <c r="E49" s="2">
        <v>0</v>
      </c>
      <c r="F49" s="3">
        <f t="shared" si="2"/>
        <v>10052</v>
      </c>
      <c r="G49" s="3">
        <f t="shared" si="3"/>
        <v>118062</v>
      </c>
    </row>
    <row r="50" spans="1:7" x14ac:dyDescent="0.3">
      <c r="A50" s="3">
        <v>41</v>
      </c>
      <c r="B50" s="3" t="s">
        <v>51</v>
      </c>
      <c r="C50" s="2">
        <v>0</v>
      </c>
      <c r="D50" s="2">
        <v>0</v>
      </c>
      <c r="E50" s="2">
        <v>0</v>
      </c>
      <c r="F50" s="3">
        <f t="shared" si="2"/>
        <v>0</v>
      </c>
      <c r="G50" s="3">
        <f t="shared" si="3"/>
        <v>118062</v>
      </c>
    </row>
    <row r="51" spans="1:7" x14ac:dyDescent="0.3">
      <c r="A51" s="3">
        <v>42</v>
      </c>
      <c r="B51" s="3" t="s">
        <v>52</v>
      </c>
      <c r="C51" s="2">
        <v>0</v>
      </c>
      <c r="D51" s="2">
        <v>0</v>
      </c>
      <c r="E51" s="2">
        <v>0</v>
      </c>
      <c r="F51" s="3">
        <f t="shared" si="2"/>
        <v>0</v>
      </c>
      <c r="G51" s="3">
        <f t="shared" si="3"/>
        <v>118062</v>
      </c>
    </row>
    <row r="52" spans="1:7" x14ac:dyDescent="0.3">
      <c r="A52" s="3">
        <v>43</v>
      </c>
      <c r="B52" s="3" t="s">
        <v>53</v>
      </c>
      <c r="C52" s="2">
        <v>0</v>
      </c>
      <c r="D52" s="2">
        <v>0</v>
      </c>
      <c r="E52" s="2">
        <v>0</v>
      </c>
      <c r="F52" s="3">
        <f t="shared" si="2"/>
        <v>0</v>
      </c>
      <c r="G52" s="3">
        <f t="shared" si="3"/>
        <v>118062</v>
      </c>
    </row>
    <row r="53" spans="1:7" x14ac:dyDescent="0.3">
      <c r="A53" s="3">
        <v>44</v>
      </c>
      <c r="B53" s="3" t="s">
        <v>54</v>
      </c>
      <c r="C53" s="2">
        <v>0</v>
      </c>
      <c r="D53" s="2">
        <v>0</v>
      </c>
      <c r="E53" s="2">
        <v>0</v>
      </c>
      <c r="F53" s="3">
        <f t="shared" si="2"/>
        <v>0</v>
      </c>
      <c r="G53" s="3">
        <f t="shared" si="3"/>
        <v>118062</v>
      </c>
    </row>
    <row r="54" spans="1:7" x14ac:dyDescent="0.3">
      <c r="A54" s="3">
        <v>45</v>
      </c>
      <c r="B54" s="3" t="s">
        <v>55</v>
      </c>
      <c r="C54" s="2">
        <v>0</v>
      </c>
      <c r="D54" s="2">
        <v>0</v>
      </c>
      <c r="E54" s="2">
        <v>0</v>
      </c>
      <c r="F54" s="3">
        <f t="shared" si="2"/>
        <v>0</v>
      </c>
      <c r="G54" s="3">
        <f t="shared" si="3"/>
        <v>118062</v>
      </c>
    </row>
    <row r="55" spans="1:7" x14ac:dyDescent="0.3">
      <c r="A55" s="3">
        <v>46</v>
      </c>
      <c r="B55" s="3" t="s">
        <v>56</v>
      </c>
      <c r="C55" s="2">
        <v>0</v>
      </c>
      <c r="D55" s="2">
        <v>0</v>
      </c>
      <c r="E55" s="2">
        <v>0</v>
      </c>
      <c r="F55" s="3">
        <f t="shared" si="2"/>
        <v>0</v>
      </c>
      <c r="G55" s="3">
        <f t="shared" si="3"/>
        <v>118062</v>
      </c>
    </row>
    <row r="56" spans="1:7" x14ac:dyDescent="0.3">
      <c r="A56" s="3">
        <v>47</v>
      </c>
      <c r="B56" s="3" t="s">
        <v>57</v>
      </c>
      <c r="C56" s="2">
        <v>0</v>
      </c>
      <c r="D56" s="2">
        <v>0</v>
      </c>
      <c r="E56" s="2">
        <v>0</v>
      </c>
      <c r="F56" s="3">
        <f t="shared" si="2"/>
        <v>0</v>
      </c>
      <c r="G56" s="3">
        <f t="shared" si="3"/>
        <v>118062</v>
      </c>
    </row>
    <row r="57" spans="1:7" x14ac:dyDescent="0.3">
      <c r="A57" s="3">
        <v>48</v>
      </c>
      <c r="B57" s="3" t="s">
        <v>58</v>
      </c>
      <c r="C57" s="2">
        <v>0</v>
      </c>
      <c r="D57" s="2">
        <v>0</v>
      </c>
      <c r="E57" s="2">
        <v>0</v>
      </c>
      <c r="F57" s="3">
        <f t="shared" si="2"/>
        <v>0</v>
      </c>
      <c r="G57" s="3">
        <f t="shared" si="3"/>
        <v>118062</v>
      </c>
    </row>
    <row r="58" spans="1:7" x14ac:dyDescent="0.3">
      <c r="A58" s="3">
        <v>49</v>
      </c>
      <c r="B58" s="3" t="s">
        <v>59</v>
      </c>
      <c r="C58" s="2">
        <v>0</v>
      </c>
      <c r="D58" s="2">
        <v>0</v>
      </c>
      <c r="E58" s="2">
        <v>0</v>
      </c>
      <c r="F58" s="3">
        <f t="shared" si="2"/>
        <v>0</v>
      </c>
      <c r="G58" s="3">
        <f t="shared" si="3"/>
        <v>118062</v>
      </c>
    </row>
    <row r="59" spans="1:7" x14ac:dyDescent="0.3">
      <c r="A59" s="3">
        <v>50</v>
      </c>
      <c r="B59" s="3" t="s">
        <v>60</v>
      </c>
      <c r="C59" s="2">
        <v>0</v>
      </c>
      <c r="D59" s="2">
        <v>0</v>
      </c>
      <c r="E59" s="2">
        <v>0</v>
      </c>
      <c r="F59" s="3">
        <f t="shared" si="2"/>
        <v>0</v>
      </c>
      <c r="G59" s="3">
        <f t="shared" si="3"/>
        <v>118062</v>
      </c>
    </row>
    <row r="60" spans="1:7" x14ac:dyDescent="0.3">
      <c r="A60" s="3">
        <v>51</v>
      </c>
      <c r="B60" s="3" t="s">
        <v>61</v>
      </c>
      <c r="C60" s="2">
        <v>0</v>
      </c>
      <c r="D60" s="2">
        <v>0</v>
      </c>
      <c r="E60" s="2">
        <v>0</v>
      </c>
      <c r="F60" s="3">
        <f t="shared" si="2"/>
        <v>0</v>
      </c>
      <c r="G60" s="3">
        <f t="shared" si="3"/>
        <v>118062</v>
      </c>
    </row>
    <row r="61" spans="1:7" x14ac:dyDescent="0.3">
      <c r="A61" s="3" t="s">
        <v>2</v>
      </c>
      <c r="B61" s="3" t="s">
        <v>62</v>
      </c>
      <c r="C61" s="3">
        <f>SUM(C10:C60)</f>
        <v>0</v>
      </c>
      <c r="D61" s="3">
        <f>SUM(D10:D60)</f>
        <v>118062</v>
      </c>
      <c r="E61" s="3">
        <f>SUM(E10:E60)</f>
        <v>0</v>
      </c>
      <c r="F61" s="3">
        <f>SUM(F10:F60)</f>
        <v>118062</v>
      </c>
      <c r="G61" s="3"/>
    </row>
  </sheetData>
  <mergeCells count="3">
    <mergeCell ref="A6:G6"/>
    <mergeCell ref="A7:G7"/>
    <mergeCell ref="A8:G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6:G61"/>
  <sheetViews>
    <sheetView workbookViewId="0">
      <pane xSplit="2" ySplit="9" topLeftCell="C52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4.4" x14ac:dyDescent="0.3"/>
  <cols>
    <col min="1" max="1" width="10" customWidth="1"/>
    <col min="2" max="2" width="27.5546875" customWidth="1"/>
    <col min="3" max="3" width="11" customWidth="1"/>
    <col min="4" max="4" width="10" customWidth="1"/>
    <col min="5" max="5" width="13.44140625" customWidth="1"/>
    <col min="6" max="6" width="16.21875" bestFit="1" customWidth="1"/>
    <col min="7" max="7" width="21.77734375" bestFit="1" customWidth="1"/>
  </cols>
  <sheetData>
    <row r="6" spans="1:7" ht="15.6" x14ac:dyDescent="0.3">
      <c r="A6" s="4" t="s">
        <v>94</v>
      </c>
      <c r="B6" s="5"/>
      <c r="C6" s="5"/>
      <c r="D6" s="5"/>
      <c r="E6" s="5"/>
      <c r="F6" s="5"/>
      <c r="G6" s="6"/>
    </row>
    <row r="7" spans="1:7" ht="15.6" x14ac:dyDescent="0.3">
      <c r="A7" s="4" t="s">
        <v>95</v>
      </c>
      <c r="B7" s="5"/>
      <c r="C7" s="5"/>
      <c r="D7" s="5"/>
      <c r="E7" s="5"/>
      <c r="F7" s="5"/>
      <c r="G7" s="6"/>
    </row>
    <row r="8" spans="1:7" x14ac:dyDescent="0.3">
      <c r="A8" s="7" t="s">
        <v>2</v>
      </c>
      <c r="B8" s="8"/>
      <c r="C8" s="8"/>
      <c r="D8" s="8"/>
      <c r="E8" s="8"/>
      <c r="F8" s="8"/>
      <c r="G8" s="9"/>
    </row>
    <row r="9" spans="1:7" x14ac:dyDescent="0.3">
      <c r="A9" s="1"/>
      <c r="B9" s="1" t="s">
        <v>3</v>
      </c>
      <c r="C9" s="1" t="s">
        <v>87</v>
      </c>
      <c r="D9" s="1" t="s">
        <v>88</v>
      </c>
      <c r="E9" s="1" t="s">
        <v>89</v>
      </c>
      <c r="F9" s="1" t="s">
        <v>96</v>
      </c>
      <c r="G9" s="1" t="s">
        <v>97</v>
      </c>
    </row>
    <row r="10" spans="1:7" x14ac:dyDescent="0.3">
      <c r="A10" s="3">
        <v>1</v>
      </c>
      <c r="B10" s="3" t="s">
        <v>11</v>
      </c>
      <c r="C10" s="2">
        <v>0</v>
      </c>
      <c r="D10" s="2">
        <v>0</v>
      </c>
      <c r="E10" s="2">
        <v>0</v>
      </c>
      <c r="F10" s="3">
        <f t="shared" ref="F10:F41" si="0">SUM(C10:E10)</f>
        <v>0</v>
      </c>
      <c r="G10" s="3">
        <f>F10</f>
        <v>0</v>
      </c>
    </row>
    <row r="11" spans="1:7" x14ac:dyDescent="0.3">
      <c r="A11" s="3">
        <v>2</v>
      </c>
      <c r="B11" s="3" t="s">
        <v>12</v>
      </c>
      <c r="C11" s="2">
        <v>0</v>
      </c>
      <c r="D11" s="2">
        <v>0</v>
      </c>
      <c r="E11" s="2">
        <v>0</v>
      </c>
      <c r="F11" s="3">
        <f t="shared" si="0"/>
        <v>0</v>
      </c>
      <c r="G11" s="3">
        <f t="shared" ref="G11:G42" si="1">F11+G10</f>
        <v>0</v>
      </c>
    </row>
    <row r="12" spans="1:7" x14ac:dyDescent="0.3">
      <c r="A12" s="3">
        <v>3</v>
      </c>
      <c r="B12" s="3" t="s">
        <v>13</v>
      </c>
      <c r="C12" s="2">
        <v>0</v>
      </c>
      <c r="D12" s="2">
        <v>0</v>
      </c>
      <c r="E12" s="2">
        <v>0</v>
      </c>
      <c r="F12" s="3">
        <f t="shared" si="0"/>
        <v>0</v>
      </c>
      <c r="G12" s="3">
        <f t="shared" si="1"/>
        <v>0</v>
      </c>
    </row>
    <row r="13" spans="1:7" x14ac:dyDescent="0.3">
      <c r="A13" s="3">
        <v>4</v>
      </c>
      <c r="B13" s="3" t="s">
        <v>14</v>
      </c>
      <c r="C13" s="2">
        <v>0</v>
      </c>
      <c r="D13" s="2">
        <v>0</v>
      </c>
      <c r="E13" s="2">
        <v>0</v>
      </c>
      <c r="F13" s="3">
        <f t="shared" si="0"/>
        <v>0</v>
      </c>
      <c r="G13" s="3">
        <f t="shared" si="1"/>
        <v>0</v>
      </c>
    </row>
    <row r="14" spans="1:7" x14ac:dyDescent="0.3">
      <c r="A14" s="3">
        <v>5</v>
      </c>
      <c r="B14" s="3" t="s">
        <v>15</v>
      </c>
      <c r="C14" s="2">
        <v>0</v>
      </c>
      <c r="D14" s="2">
        <v>713</v>
      </c>
      <c r="E14" s="2">
        <v>0</v>
      </c>
      <c r="F14" s="3">
        <f t="shared" si="0"/>
        <v>713</v>
      </c>
      <c r="G14" s="3">
        <f t="shared" si="1"/>
        <v>713</v>
      </c>
    </row>
    <row r="15" spans="1:7" x14ac:dyDescent="0.3">
      <c r="A15" s="3">
        <v>6</v>
      </c>
      <c r="B15" s="3" t="s">
        <v>16</v>
      </c>
      <c r="C15" s="2">
        <v>0</v>
      </c>
      <c r="D15" s="2">
        <v>0</v>
      </c>
      <c r="E15" s="2">
        <v>0</v>
      </c>
      <c r="F15" s="3">
        <f t="shared" si="0"/>
        <v>0</v>
      </c>
      <c r="G15" s="3">
        <f t="shared" si="1"/>
        <v>713</v>
      </c>
    </row>
    <row r="16" spans="1:7" x14ac:dyDescent="0.3">
      <c r="A16" s="3">
        <v>7</v>
      </c>
      <c r="B16" s="3" t="s">
        <v>17</v>
      </c>
      <c r="C16" s="2">
        <v>0</v>
      </c>
      <c r="D16" s="2">
        <v>32054</v>
      </c>
      <c r="E16" s="2">
        <v>0</v>
      </c>
      <c r="F16" s="3">
        <f t="shared" si="0"/>
        <v>32054</v>
      </c>
      <c r="G16" s="3">
        <f t="shared" si="1"/>
        <v>32767</v>
      </c>
    </row>
    <row r="17" spans="1:7" x14ac:dyDescent="0.3">
      <c r="A17" s="3">
        <v>8</v>
      </c>
      <c r="B17" s="3" t="s">
        <v>18</v>
      </c>
      <c r="C17" s="2">
        <v>0</v>
      </c>
      <c r="D17" s="2">
        <v>39836</v>
      </c>
      <c r="E17" s="2">
        <v>0</v>
      </c>
      <c r="F17" s="3">
        <f t="shared" si="0"/>
        <v>39836</v>
      </c>
      <c r="G17" s="3">
        <f t="shared" si="1"/>
        <v>72603</v>
      </c>
    </row>
    <row r="18" spans="1:7" x14ac:dyDescent="0.3">
      <c r="A18" s="3">
        <v>9</v>
      </c>
      <c r="B18" s="3" t="s">
        <v>19</v>
      </c>
      <c r="C18" s="2">
        <v>0</v>
      </c>
      <c r="D18" s="2">
        <v>43418</v>
      </c>
      <c r="E18" s="2">
        <v>0</v>
      </c>
      <c r="F18" s="3">
        <f t="shared" si="0"/>
        <v>43418</v>
      </c>
      <c r="G18" s="3">
        <f t="shared" si="1"/>
        <v>116021</v>
      </c>
    </row>
    <row r="19" spans="1:7" x14ac:dyDescent="0.3">
      <c r="A19" s="3">
        <v>10</v>
      </c>
      <c r="B19" s="3" t="s">
        <v>20</v>
      </c>
      <c r="C19" s="2">
        <v>0</v>
      </c>
      <c r="D19" s="2">
        <v>41445</v>
      </c>
      <c r="E19" s="2">
        <v>0</v>
      </c>
      <c r="F19" s="3">
        <f t="shared" si="0"/>
        <v>41445</v>
      </c>
      <c r="G19" s="3">
        <f t="shared" si="1"/>
        <v>157466</v>
      </c>
    </row>
    <row r="20" spans="1:7" x14ac:dyDescent="0.3">
      <c r="A20" s="3">
        <v>11</v>
      </c>
      <c r="B20" s="3" t="s">
        <v>21</v>
      </c>
      <c r="C20" s="2">
        <v>0</v>
      </c>
      <c r="D20" s="2">
        <v>0</v>
      </c>
      <c r="E20" s="2">
        <v>0</v>
      </c>
      <c r="F20" s="3">
        <f t="shared" si="0"/>
        <v>0</v>
      </c>
      <c r="G20" s="3">
        <f t="shared" si="1"/>
        <v>157466</v>
      </c>
    </row>
    <row r="21" spans="1:7" x14ac:dyDescent="0.3">
      <c r="A21" s="3">
        <v>12</v>
      </c>
      <c r="B21" s="3" t="s">
        <v>22</v>
      </c>
      <c r="C21" s="2">
        <v>0</v>
      </c>
      <c r="D21" s="2">
        <v>0</v>
      </c>
      <c r="E21" s="2">
        <v>0</v>
      </c>
      <c r="F21" s="3">
        <f t="shared" si="0"/>
        <v>0</v>
      </c>
      <c r="G21" s="3">
        <f t="shared" si="1"/>
        <v>157466</v>
      </c>
    </row>
    <row r="22" spans="1:7" x14ac:dyDescent="0.3">
      <c r="A22" s="3">
        <v>13</v>
      </c>
      <c r="B22" s="3" t="s">
        <v>23</v>
      </c>
      <c r="C22" s="2">
        <v>0</v>
      </c>
      <c r="D22" s="2">
        <v>50255</v>
      </c>
      <c r="E22" s="2">
        <v>0</v>
      </c>
      <c r="F22" s="3">
        <f t="shared" si="0"/>
        <v>50255</v>
      </c>
      <c r="G22" s="3">
        <f t="shared" si="1"/>
        <v>207721</v>
      </c>
    </row>
    <row r="23" spans="1:7" x14ac:dyDescent="0.3">
      <c r="A23" s="3">
        <v>14</v>
      </c>
      <c r="B23" s="3" t="s">
        <v>24</v>
      </c>
      <c r="C23" s="2">
        <v>0</v>
      </c>
      <c r="D23" s="2">
        <v>0</v>
      </c>
      <c r="E23" s="2">
        <v>0</v>
      </c>
      <c r="F23" s="3">
        <f t="shared" si="0"/>
        <v>0</v>
      </c>
      <c r="G23" s="3">
        <f t="shared" si="1"/>
        <v>207721</v>
      </c>
    </row>
    <row r="24" spans="1:7" x14ac:dyDescent="0.3">
      <c r="A24" s="3">
        <v>15</v>
      </c>
      <c r="B24" s="3" t="s">
        <v>25</v>
      </c>
      <c r="C24" s="2">
        <v>0</v>
      </c>
      <c r="D24" s="2">
        <v>0</v>
      </c>
      <c r="E24" s="2">
        <v>0</v>
      </c>
      <c r="F24" s="3">
        <f t="shared" si="0"/>
        <v>0</v>
      </c>
      <c r="G24" s="3">
        <f t="shared" si="1"/>
        <v>207721</v>
      </c>
    </row>
    <row r="25" spans="1:7" x14ac:dyDescent="0.3">
      <c r="A25" s="3">
        <v>16</v>
      </c>
      <c r="B25" s="3" t="s">
        <v>26</v>
      </c>
      <c r="C25" s="2">
        <v>0</v>
      </c>
      <c r="D25" s="2">
        <v>0</v>
      </c>
      <c r="E25" s="2">
        <v>0</v>
      </c>
      <c r="F25" s="3">
        <f t="shared" si="0"/>
        <v>0</v>
      </c>
      <c r="G25" s="3">
        <f t="shared" si="1"/>
        <v>207721</v>
      </c>
    </row>
    <row r="26" spans="1:7" x14ac:dyDescent="0.3">
      <c r="A26" s="3">
        <v>17</v>
      </c>
      <c r="B26" s="3" t="s">
        <v>27</v>
      </c>
      <c r="C26" s="2">
        <v>0</v>
      </c>
      <c r="D26" s="2">
        <v>0</v>
      </c>
      <c r="E26" s="2">
        <v>0</v>
      </c>
      <c r="F26" s="3">
        <f t="shared" si="0"/>
        <v>0</v>
      </c>
      <c r="G26" s="3">
        <f t="shared" si="1"/>
        <v>207721</v>
      </c>
    </row>
    <row r="27" spans="1:7" x14ac:dyDescent="0.3">
      <c r="A27" s="3">
        <v>18</v>
      </c>
      <c r="B27" s="3" t="s">
        <v>28</v>
      </c>
      <c r="C27" s="2">
        <v>0</v>
      </c>
      <c r="D27" s="2">
        <v>0</v>
      </c>
      <c r="E27" s="2">
        <v>0</v>
      </c>
      <c r="F27" s="3">
        <f t="shared" si="0"/>
        <v>0</v>
      </c>
      <c r="G27" s="3">
        <f t="shared" si="1"/>
        <v>207721</v>
      </c>
    </row>
    <row r="28" spans="1:7" x14ac:dyDescent="0.3">
      <c r="A28" s="3">
        <v>19</v>
      </c>
      <c r="B28" s="3" t="s">
        <v>29</v>
      </c>
      <c r="C28" s="2">
        <v>0</v>
      </c>
      <c r="D28" s="2">
        <v>0</v>
      </c>
      <c r="E28" s="2">
        <v>0</v>
      </c>
      <c r="F28" s="3">
        <f t="shared" si="0"/>
        <v>0</v>
      </c>
      <c r="G28" s="3">
        <f t="shared" si="1"/>
        <v>207721</v>
      </c>
    </row>
    <row r="29" spans="1:7" x14ac:dyDescent="0.3">
      <c r="A29" s="3">
        <v>20</v>
      </c>
      <c r="B29" s="3" t="s">
        <v>30</v>
      </c>
      <c r="C29" s="2">
        <v>0</v>
      </c>
      <c r="D29" s="2">
        <v>0</v>
      </c>
      <c r="E29" s="2">
        <v>0</v>
      </c>
      <c r="F29" s="3">
        <f t="shared" si="0"/>
        <v>0</v>
      </c>
      <c r="G29" s="3">
        <f t="shared" si="1"/>
        <v>207721</v>
      </c>
    </row>
    <row r="30" spans="1:7" x14ac:dyDescent="0.3">
      <c r="A30" s="3">
        <v>21</v>
      </c>
      <c r="B30" s="3" t="s">
        <v>31</v>
      </c>
      <c r="C30" s="2">
        <v>0</v>
      </c>
      <c r="D30" s="2">
        <v>0</v>
      </c>
      <c r="E30" s="2">
        <v>0</v>
      </c>
      <c r="F30" s="3">
        <f t="shared" si="0"/>
        <v>0</v>
      </c>
      <c r="G30" s="3">
        <f t="shared" si="1"/>
        <v>207721</v>
      </c>
    </row>
    <row r="31" spans="1:7" x14ac:dyDescent="0.3">
      <c r="A31" s="3">
        <v>22</v>
      </c>
      <c r="B31" s="3" t="s">
        <v>32</v>
      </c>
      <c r="C31" s="2">
        <v>0</v>
      </c>
      <c r="D31" s="2">
        <v>480</v>
      </c>
      <c r="E31" s="2">
        <v>0</v>
      </c>
      <c r="F31" s="3">
        <f t="shared" si="0"/>
        <v>480</v>
      </c>
      <c r="G31" s="3">
        <f t="shared" si="1"/>
        <v>208201</v>
      </c>
    </row>
    <row r="32" spans="1:7" x14ac:dyDescent="0.3">
      <c r="A32" s="3">
        <v>23</v>
      </c>
      <c r="B32" s="3" t="s">
        <v>33</v>
      </c>
      <c r="C32" s="2">
        <v>0</v>
      </c>
      <c r="D32" s="2">
        <v>0</v>
      </c>
      <c r="E32" s="2">
        <v>0</v>
      </c>
      <c r="F32" s="3">
        <f t="shared" si="0"/>
        <v>0</v>
      </c>
      <c r="G32" s="3">
        <f t="shared" si="1"/>
        <v>208201</v>
      </c>
    </row>
    <row r="33" spans="1:7" x14ac:dyDescent="0.3">
      <c r="A33" s="3">
        <v>24</v>
      </c>
      <c r="B33" s="3" t="s">
        <v>34</v>
      </c>
      <c r="C33" s="2">
        <v>0</v>
      </c>
      <c r="D33" s="2">
        <v>0</v>
      </c>
      <c r="E33" s="2">
        <v>0</v>
      </c>
      <c r="F33" s="3">
        <f t="shared" si="0"/>
        <v>0</v>
      </c>
      <c r="G33" s="3">
        <f t="shared" si="1"/>
        <v>208201</v>
      </c>
    </row>
    <row r="34" spans="1:7" x14ac:dyDescent="0.3">
      <c r="A34" s="3">
        <v>25</v>
      </c>
      <c r="B34" s="3" t="s">
        <v>35</v>
      </c>
      <c r="C34" s="2">
        <v>0</v>
      </c>
      <c r="D34" s="2">
        <v>0</v>
      </c>
      <c r="E34" s="2">
        <v>0</v>
      </c>
      <c r="F34" s="3">
        <f t="shared" si="0"/>
        <v>0</v>
      </c>
      <c r="G34" s="3">
        <f t="shared" si="1"/>
        <v>208201</v>
      </c>
    </row>
    <row r="35" spans="1:7" x14ac:dyDescent="0.3">
      <c r="A35" s="3">
        <v>26</v>
      </c>
      <c r="B35" s="3" t="s">
        <v>36</v>
      </c>
      <c r="C35" s="2">
        <v>0</v>
      </c>
      <c r="D35" s="2">
        <v>0</v>
      </c>
      <c r="E35" s="2">
        <v>0</v>
      </c>
      <c r="F35" s="3">
        <f t="shared" si="0"/>
        <v>0</v>
      </c>
      <c r="G35" s="3">
        <f t="shared" si="1"/>
        <v>208201</v>
      </c>
    </row>
    <row r="36" spans="1:7" x14ac:dyDescent="0.3">
      <c r="A36" s="3">
        <v>27</v>
      </c>
      <c r="B36" s="3" t="s">
        <v>37</v>
      </c>
      <c r="C36" s="2">
        <v>0</v>
      </c>
      <c r="D36" s="2">
        <v>796</v>
      </c>
      <c r="E36" s="2">
        <v>0</v>
      </c>
      <c r="F36" s="3">
        <f t="shared" si="0"/>
        <v>796</v>
      </c>
      <c r="G36" s="3">
        <f t="shared" si="1"/>
        <v>208997</v>
      </c>
    </row>
    <row r="37" spans="1:7" x14ac:dyDescent="0.3">
      <c r="A37" s="3">
        <v>28</v>
      </c>
      <c r="B37" s="3" t="s">
        <v>38</v>
      </c>
      <c r="C37" s="2">
        <v>0</v>
      </c>
      <c r="D37" s="2">
        <v>0</v>
      </c>
      <c r="E37" s="2">
        <v>0</v>
      </c>
      <c r="F37" s="3">
        <f t="shared" si="0"/>
        <v>0</v>
      </c>
      <c r="G37" s="3">
        <f t="shared" si="1"/>
        <v>208997</v>
      </c>
    </row>
    <row r="38" spans="1:7" x14ac:dyDescent="0.3">
      <c r="A38" s="3">
        <v>29</v>
      </c>
      <c r="B38" s="3" t="s">
        <v>39</v>
      </c>
      <c r="C38" s="2">
        <v>0</v>
      </c>
      <c r="D38" s="2">
        <v>0</v>
      </c>
      <c r="E38" s="2">
        <v>0</v>
      </c>
      <c r="F38" s="3">
        <f t="shared" si="0"/>
        <v>0</v>
      </c>
      <c r="G38" s="3">
        <f t="shared" si="1"/>
        <v>208997</v>
      </c>
    </row>
    <row r="39" spans="1:7" x14ac:dyDescent="0.3">
      <c r="A39" s="3">
        <v>30</v>
      </c>
      <c r="B39" s="3" t="s">
        <v>40</v>
      </c>
      <c r="C39" s="2">
        <v>0</v>
      </c>
      <c r="D39" s="2">
        <v>0</v>
      </c>
      <c r="E39" s="2">
        <v>0</v>
      </c>
      <c r="F39" s="3">
        <f t="shared" si="0"/>
        <v>0</v>
      </c>
      <c r="G39" s="3">
        <f t="shared" si="1"/>
        <v>208997</v>
      </c>
    </row>
    <row r="40" spans="1:7" x14ac:dyDescent="0.3">
      <c r="A40" s="3">
        <v>31</v>
      </c>
      <c r="B40" s="3" t="s">
        <v>41</v>
      </c>
      <c r="C40" s="2">
        <v>0</v>
      </c>
      <c r="D40" s="2">
        <v>999</v>
      </c>
      <c r="E40" s="2">
        <v>0</v>
      </c>
      <c r="F40" s="3">
        <f t="shared" si="0"/>
        <v>999</v>
      </c>
      <c r="G40" s="3">
        <f t="shared" si="1"/>
        <v>209996</v>
      </c>
    </row>
    <row r="41" spans="1:7" x14ac:dyDescent="0.3">
      <c r="A41" s="3">
        <v>32</v>
      </c>
      <c r="B41" s="3" t="s">
        <v>42</v>
      </c>
      <c r="C41" s="2">
        <v>0</v>
      </c>
      <c r="D41" s="2">
        <v>0</v>
      </c>
      <c r="E41" s="2">
        <v>0</v>
      </c>
      <c r="F41" s="3">
        <f t="shared" si="0"/>
        <v>0</v>
      </c>
      <c r="G41" s="3">
        <f t="shared" si="1"/>
        <v>209996</v>
      </c>
    </row>
    <row r="42" spans="1:7" x14ac:dyDescent="0.3">
      <c r="A42" s="3">
        <v>33</v>
      </c>
      <c r="B42" s="3" t="s">
        <v>43</v>
      </c>
      <c r="C42" s="2">
        <v>0</v>
      </c>
      <c r="D42" s="2">
        <v>16504</v>
      </c>
      <c r="E42" s="2">
        <v>0</v>
      </c>
      <c r="F42" s="3">
        <f t="shared" ref="F42:F73" si="2">SUM(C42:E42)</f>
        <v>16504</v>
      </c>
      <c r="G42" s="3">
        <f t="shared" si="1"/>
        <v>226500</v>
      </c>
    </row>
    <row r="43" spans="1:7" x14ac:dyDescent="0.3">
      <c r="A43" s="3">
        <v>34</v>
      </c>
      <c r="B43" s="3" t="s">
        <v>44</v>
      </c>
      <c r="C43" s="2">
        <v>0</v>
      </c>
      <c r="D43" s="2">
        <v>0</v>
      </c>
      <c r="E43" s="2">
        <v>0</v>
      </c>
      <c r="F43" s="3">
        <f t="shared" si="2"/>
        <v>0</v>
      </c>
      <c r="G43" s="3">
        <f t="shared" ref="G43:G74" si="3">F43+G42</f>
        <v>226500</v>
      </c>
    </row>
    <row r="44" spans="1:7" x14ac:dyDescent="0.3">
      <c r="A44" s="3">
        <v>35</v>
      </c>
      <c r="B44" s="3" t="s">
        <v>45</v>
      </c>
      <c r="C44" s="2">
        <v>0</v>
      </c>
      <c r="D44" s="2">
        <v>0</v>
      </c>
      <c r="E44" s="2">
        <v>0</v>
      </c>
      <c r="F44" s="3">
        <f t="shared" si="2"/>
        <v>0</v>
      </c>
      <c r="G44" s="3">
        <f t="shared" si="3"/>
        <v>226500</v>
      </c>
    </row>
    <row r="45" spans="1:7" x14ac:dyDescent="0.3">
      <c r="A45" s="3">
        <v>36</v>
      </c>
      <c r="B45" s="3" t="s">
        <v>46</v>
      </c>
      <c r="C45" s="2">
        <v>0</v>
      </c>
      <c r="D45" s="2">
        <v>0</v>
      </c>
      <c r="E45" s="2">
        <v>0</v>
      </c>
      <c r="F45" s="3">
        <f t="shared" si="2"/>
        <v>0</v>
      </c>
      <c r="G45" s="3">
        <f t="shared" si="3"/>
        <v>226500</v>
      </c>
    </row>
    <row r="46" spans="1:7" x14ac:dyDescent="0.3">
      <c r="A46" s="3">
        <v>37</v>
      </c>
      <c r="B46" s="3" t="s">
        <v>47</v>
      </c>
      <c r="C46" s="2">
        <v>0</v>
      </c>
      <c r="D46" s="2">
        <v>0</v>
      </c>
      <c r="E46" s="2">
        <v>0</v>
      </c>
      <c r="F46" s="3">
        <f t="shared" si="2"/>
        <v>0</v>
      </c>
      <c r="G46" s="3">
        <f t="shared" si="3"/>
        <v>226500</v>
      </c>
    </row>
    <row r="47" spans="1:7" x14ac:dyDescent="0.3">
      <c r="A47" s="3">
        <v>38</v>
      </c>
      <c r="B47" s="3" t="s">
        <v>48</v>
      </c>
      <c r="C47" s="2">
        <v>0</v>
      </c>
      <c r="D47" s="2">
        <v>0</v>
      </c>
      <c r="E47" s="2">
        <v>0</v>
      </c>
      <c r="F47" s="3">
        <f t="shared" si="2"/>
        <v>0</v>
      </c>
      <c r="G47" s="3">
        <f t="shared" si="3"/>
        <v>226500</v>
      </c>
    </row>
    <row r="48" spans="1:7" x14ac:dyDescent="0.3">
      <c r="A48" s="3">
        <v>39</v>
      </c>
      <c r="B48" s="3" t="s">
        <v>49</v>
      </c>
      <c r="C48" s="2">
        <v>0</v>
      </c>
      <c r="D48" s="2">
        <v>975</v>
      </c>
      <c r="E48" s="2">
        <v>0</v>
      </c>
      <c r="F48" s="3">
        <f t="shared" si="2"/>
        <v>975</v>
      </c>
      <c r="G48" s="3">
        <f t="shared" si="3"/>
        <v>227475</v>
      </c>
    </row>
    <row r="49" spans="1:7" x14ac:dyDescent="0.3">
      <c r="A49" s="3">
        <v>40</v>
      </c>
      <c r="B49" s="3" t="s">
        <v>50</v>
      </c>
      <c r="C49" s="2">
        <v>0</v>
      </c>
      <c r="D49" s="2">
        <v>357</v>
      </c>
      <c r="E49" s="2">
        <v>0</v>
      </c>
      <c r="F49" s="3">
        <f t="shared" si="2"/>
        <v>357</v>
      </c>
      <c r="G49" s="3">
        <f t="shared" si="3"/>
        <v>227832</v>
      </c>
    </row>
    <row r="50" spans="1:7" x14ac:dyDescent="0.3">
      <c r="A50" s="3">
        <v>41</v>
      </c>
      <c r="B50" s="3" t="s">
        <v>51</v>
      </c>
      <c r="C50" s="2">
        <v>0</v>
      </c>
      <c r="D50" s="2">
        <v>0</v>
      </c>
      <c r="E50" s="2">
        <v>0</v>
      </c>
      <c r="F50" s="3">
        <f t="shared" si="2"/>
        <v>0</v>
      </c>
      <c r="G50" s="3">
        <f t="shared" si="3"/>
        <v>227832</v>
      </c>
    </row>
    <row r="51" spans="1:7" x14ac:dyDescent="0.3">
      <c r="A51" s="3">
        <v>42</v>
      </c>
      <c r="B51" s="3" t="s">
        <v>52</v>
      </c>
      <c r="C51" s="2">
        <v>0</v>
      </c>
      <c r="D51" s="2">
        <v>0</v>
      </c>
      <c r="E51" s="2">
        <v>0</v>
      </c>
      <c r="F51" s="3">
        <f t="shared" si="2"/>
        <v>0</v>
      </c>
      <c r="G51" s="3">
        <f t="shared" si="3"/>
        <v>227832</v>
      </c>
    </row>
    <row r="52" spans="1:7" x14ac:dyDescent="0.3">
      <c r="A52" s="3">
        <v>43</v>
      </c>
      <c r="B52" s="3" t="s">
        <v>53</v>
      </c>
      <c r="C52" s="2">
        <v>0</v>
      </c>
      <c r="D52" s="2">
        <v>962</v>
      </c>
      <c r="E52" s="2">
        <v>0</v>
      </c>
      <c r="F52" s="3">
        <f t="shared" si="2"/>
        <v>962</v>
      </c>
      <c r="G52" s="3">
        <f t="shared" si="3"/>
        <v>228794</v>
      </c>
    </row>
    <row r="53" spans="1:7" x14ac:dyDescent="0.3">
      <c r="A53" s="3">
        <v>44</v>
      </c>
      <c r="B53" s="3" t="s">
        <v>54</v>
      </c>
      <c r="C53" s="2">
        <v>0</v>
      </c>
      <c r="D53" s="2">
        <v>1188</v>
      </c>
      <c r="E53" s="2">
        <v>0</v>
      </c>
      <c r="F53" s="3">
        <f t="shared" si="2"/>
        <v>1188</v>
      </c>
      <c r="G53" s="3">
        <f t="shared" si="3"/>
        <v>229982</v>
      </c>
    </row>
    <row r="54" spans="1:7" x14ac:dyDescent="0.3">
      <c r="A54" s="3">
        <v>45</v>
      </c>
      <c r="B54" s="3" t="s">
        <v>55</v>
      </c>
      <c r="C54" s="2">
        <v>0</v>
      </c>
      <c r="D54" s="2">
        <v>0</v>
      </c>
      <c r="E54" s="2">
        <v>0</v>
      </c>
      <c r="F54" s="3">
        <f t="shared" si="2"/>
        <v>0</v>
      </c>
      <c r="G54" s="3">
        <f t="shared" si="3"/>
        <v>229982</v>
      </c>
    </row>
    <row r="55" spans="1:7" x14ac:dyDescent="0.3">
      <c r="A55" s="3">
        <v>46</v>
      </c>
      <c r="B55" s="3" t="s">
        <v>56</v>
      </c>
      <c r="C55" s="2">
        <v>0</v>
      </c>
      <c r="D55" s="2">
        <v>16509</v>
      </c>
      <c r="E55" s="2">
        <v>0</v>
      </c>
      <c r="F55" s="3">
        <f t="shared" si="2"/>
        <v>16509</v>
      </c>
      <c r="G55" s="3">
        <f t="shared" si="3"/>
        <v>246491</v>
      </c>
    </row>
    <row r="56" spans="1:7" x14ac:dyDescent="0.3">
      <c r="A56" s="3">
        <v>47</v>
      </c>
      <c r="B56" s="3" t="s">
        <v>57</v>
      </c>
      <c r="C56" s="2">
        <v>0</v>
      </c>
      <c r="D56" s="2">
        <v>0</v>
      </c>
      <c r="E56" s="2">
        <v>0</v>
      </c>
      <c r="F56" s="3">
        <f t="shared" si="2"/>
        <v>0</v>
      </c>
      <c r="G56" s="3">
        <f t="shared" si="3"/>
        <v>246491</v>
      </c>
    </row>
    <row r="57" spans="1:7" x14ac:dyDescent="0.3">
      <c r="A57" s="3">
        <v>48</v>
      </c>
      <c r="B57" s="3" t="s">
        <v>58</v>
      </c>
      <c r="C57" s="2">
        <v>0</v>
      </c>
      <c r="D57" s="2">
        <v>0</v>
      </c>
      <c r="E57" s="2">
        <v>0</v>
      </c>
      <c r="F57" s="3">
        <f t="shared" si="2"/>
        <v>0</v>
      </c>
      <c r="G57" s="3">
        <f t="shared" si="3"/>
        <v>246491</v>
      </c>
    </row>
    <row r="58" spans="1:7" x14ac:dyDescent="0.3">
      <c r="A58" s="3">
        <v>49</v>
      </c>
      <c r="B58" s="3" t="s">
        <v>59</v>
      </c>
      <c r="C58" s="2">
        <v>0</v>
      </c>
      <c r="D58" s="2">
        <v>0</v>
      </c>
      <c r="E58" s="2">
        <v>0</v>
      </c>
      <c r="F58" s="3">
        <f t="shared" si="2"/>
        <v>0</v>
      </c>
      <c r="G58" s="3">
        <f t="shared" si="3"/>
        <v>246491</v>
      </c>
    </row>
    <row r="59" spans="1:7" x14ac:dyDescent="0.3">
      <c r="A59" s="3">
        <v>50</v>
      </c>
      <c r="B59" s="3" t="s">
        <v>60</v>
      </c>
      <c r="C59" s="2">
        <v>0</v>
      </c>
      <c r="D59" s="2">
        <v>0</v>
      </c>
      <c r="E59" s="2">
        <v>0</v>
      </c>
      <c r="F59" s="3">
        <f t="shared" si="2"/>
        <v>0</v>
      </c>
      <c r="G59" s="3">
        <f t="shared" si="3"/>
        <v>246491</v>
      </c>
    </row>
    <row r="60" spans="1:7" x14ac:dyDescent="0.3">
      <c r="A60" s="3">
        <v>51</v>
      </c>
      <c r="B60" s="3" t="s">
        <v>61</v>
      </c>
      <c r="C60" s="2">
        <v>0</v>
      </c>
      <c r="D60" s="2">
        <v>0</v>
      </c>
      <c r="E60" s="2">
        <v>0</v>
      </c>
      <c r="F60" s="3">
        <f t="shared" si="2"/>
        <v>0</v>
      </c>
      <c r="G60" s="3">
        <f t="shared" si="3"/>
        <v>246491</v>
      </c>
    </row>
    <row r="61" spans="1:7" x14ac:dyDescent="0.3">
      <c r="A61" s="3" t="s">
        <v>2</v>
      </c>
      <c r="B61" s="3" t="s">
        <v>62</v>
      </c>
      <c r="C61" s="3">
        <f>SUM(C10:C60)</f>
        <v>0</v>
      </c>
      <c r="D61" s="3">
        <f>SUM(D10:D60)</f>
        <v>246491</v>
      </c>
      <c r="E61" s="3">
        <f>SUM(E10:E60)</f>
        <v>0</v>
      </c>
      <c r="F61" s="3">
        <f>SUM(F10:F60)</f>
        <v>246491</v>
      </c>
      <c r="G61" s="3"/>
    </row>
  </sheetData>
  <mergeCells count="3">
    <mergeCell ref="A6:G6"/>
    <mergeCell ref="A7:G7"/>
    <mergeCell ref="A8:G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E796D7EABA42BC0DB2CA73C7CE00" ma:contentTypeVersion="16" ma:contentTypeDescription="Create a new document." ma:contentTypeScope="" ma:versionID="e2ecee1b3d34a959aed38d5dc4c878f4">
  <xsd:schema xmlns:xsd="http://www.w3.org/2001/XMLSchema" xmlns:xs="http://www.w3.org/2001/XMLSchema" xmlns:p="http://schemas.microsoft.com/office/2006/metadata/properties" xmlns:ns2="3fe4ae0e-3af2-48f1-b2fd-da4a302e5eb8" xmlns:ns3="ae149517-eeaa-465d-b3b6-396a1e23bc6e" targetNamespace="http://schemas.microsoft.com/office/2006/metadata/properties" ma:root="true" ma:fieldsID="9af26d9f7c79c0f2a842447557dfee25" ns2:_="" ns3:_="">
    <xsd:import namespace="3fe4ae0e-3af2-48f1-b2fd-da4a302e5eb8"/>
    <xsd:import namespace="ae149517-eeaa-465d-b3b6-396a1e23b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ae0e-3af2-48f1-b2fd-da4a302e5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8c2128d-7fdb-466e-89f3-d531dbcf0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49517-eeaa-465d-b3b6-396a1e23bc6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ce5955-1f8d-479c-a449-cd7312e93e68}" ma:internalName="TaxCatchAll" ma:showField="CatchAllData" ma:web="ae149517-eeaa-465d-b3b6-396a1e23b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149517-eeaa-465d-b3b6-396a1e23bc6e" xsi:nil="true"/>
    <lcf76f155ced4ddcb4097134ff3c332f xmlns="3fe4ae0e-3af2-48f1-b2fd-da4a302e5e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E1866A-39C4-4500-A659-7638ED0BA91A}"/>
</file>

<file path=customXml/itemProps2.xml><?xml version="1.0" encoding="utf-8"?>
<ds:datastoreItem xmlns:ds="http://schemas.openxmlformats.org/officeDocument/2006/customXml" ds:itemID="{99F2AEFC-F153-4E55-89F3-52FB4622D3E7}"/>
</file>

<file path=customXml/itemProps3.xml><?xml version="1.0" encoding="utf-8"?>
<ds:datastoreItem xmlns:ds="http://schemas.openxmlformats.org/officeDocument/2006/customXml" ds:itemID="{00E9CA31-27F0-4D32-804D-0D29DA2D8D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White RSA EXPORTS</vt:lpstr>
      <vt:lpstr>YELLOW RSA EXPORTS</vt:lpstr>
      <vt:lpstr>White IMPORTS FOR RSA</vt:lpstr>
      <vt:lpstr>Yellow IMPORTS FOR RSA</vt:lpstr>
      <vt:lpstr>White IMPORTS FOR OTHER COUNTRI</vt:lpstr>
      <vt:lpstr>YELLOW IMPORTS FOR OTHER COUNTR</vt:lpstr>
      <vt:lpstr>WHITE EXPORTS OF IMPORTED MAIZE</vt:lpstr>
      <vt:lpstr>YELLOW EXPORTS OF IMPORTED MAIZ</vt:lpstr>
      <vt:lpstr>White IMPORTS PER HARBOUR</vt:lpstr>
      <vt:lpstr>Yellow IMPORTS PER HARBOUR</vt:lpstr>
      <vt:lpstr>White EXPORT PER HARBOUR</vt:lpstr>
      <vt:lpstr>Yellow EXPORT PER HARBOUR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 Willemse</dc:creator>
  <cp:lastModifiedBy>Sumai Willemse</cp:lastModifiedBy>
  <dcterms:created xsi:type="dcterms:W3CDTF">2026-04-23T08:01:21Z</dcterms:created>
  <dcterms:modified xsi:type="dcterms:W3CDTF">2026-04-23T08:11:50Z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0x01010075ECE796D7EABA42BC0DB2CA73C7CE00</vt:lpwstr>
  </property>
</Properties>
</file>